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/>
  <workbookPr defaultThemeVersion="124226"/>
  <mc:AlternateContent xmlns:mc="http://schemas.openxmlformats.org/markup-compatibility/2006">
    <mc:Choice Requires="x15">
      <x15ac:absPath xmlns:x15ac="http://schemas.microsoft.com/office/spreadsheetml/2010/11/ac" url="E:\Works\EXCEL_PYTHON2\Fin_Mod\dist\"/>
    </mc:Choice>
  </mc:AlternateContent>
  <xr:revisionPtr revIDLastSave="0" documentId="13_ncr:1_{9C3DC7FC-A44A-46D1-B299-30C851EF81BD}" xr6:coauthVersionLast="47" xr6:coauthVersionMax="47" xr10:uidLastSave="{00000000-0000-0000-0000-000000000000}"/>
  <bookViews>
    <workbookView xWindow="20370" yWindow="-120" windowWidth="20640" windowHeight="11160" tabRatio="886" xr2:uid="{00000000-000D-0000-FFFF-FFFF00000000}"/>
  </bookViews>
  <sheets>
    <sheet name="User_Credential" sheetId="1" r:id="rId1"/>
    <sheet name="Config" sheetId="12" r:id="rId2"/>
    <sheet name="Trade_Terminal" sheetId="2" r:id="rId3"/>
    <sheet name="OrderBook" sheetId="6" r:id="rId4"/>
    <sheet name="OpenPosition" sheetId="7" r:id="rId5"/>
    <sheet name="Holdings" sheetId="9" r:id="rId6"/>
    <sheet name="Option_Chain_Input" sheetId="3" r:id="rId7"/>
    <sheet name="Option_Chain_Output" sheetId="8" r:id="rId8"/>
    <sheet name="Option_Chain_Pro_Input" sheetId="10" r:id="rId9"/>
    <sheet name="Option_Chain_Pro_Output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3" l="1"/>
  <c r="E4" i="10"/>
  <c r="B6" i="1"/>
</calcChain>
</file>

<file path=xl/sharedStrings.xml><?xml version="1.0" encoding="utf-8"?>
<sst xmlns="http://schemas.openxmlformats.org/spreadsheetml/2006/main" count="810" uniqueCount="330">
  <si>
    <t>userid</t>
  </si>
  <si>
    <t>password</t>
  </si>
  <si>
    <t>ToTP</t>
  </si>
  <si>
    <t>vendor_code</t>
  </si>
  <si>
    <t>api_secret</t>
  </si>
  <si>
    <t>Symbol</t>
  </si>
  <si>
    <t>Open</t>
  </si>
  <si>
    <t>High</t>
  </si>
  <si>
    <t>Low</t>
  </si>
  <si>
    <t>Close</t>
  </si>
  <si>
    <t>VWAP</t>
  </si>
  <si>
    <t>Best Buy Price</t>
  </si>
  <si>
    <t>Best Sell Price</t>
  </si>
  <si>
    <t>Volume</t>
  </si>
  <si>
    <t>LTP</t>
  </si>
  <si>
    <t>Percentage change</t>
  </si>
  <si>
    <t>Qty</t>
  </si>
  <si>
    <t>Entry Signal</t>
  </si>
  <si>
    <t>Exit Signal</t>
  </si>
  <si>
    <t>Target</t>
  </si>
  <si>
    <t>SL</t>
  </si>
  <si>
    <t>Trade Status</t>
  </si>
  <si>
    <t>-</t>
  </si>
  <si>
    <t>NSE:NIFTY INDEX</t>
  </si>
  <si>
    <t>NSE:INDIA VIX</t>
  </si>
  <si>
    <t>NSE:NIFTY BANK</t>
  </si>
  <si>
    <t>NSE:FIN NIFTY</t>
  </si>
  <si>
    <t>NSE:IDEA-EQ</t>
  </si>
  <si>
    <t>NSE:RELIANCE-EQ</t>
  </si>
  <si>
    <t>NSE:HCLTECH-EQ</t>
  </si>
  <si>
    <t>LotSize</t>
  </si>
  <si>
    <t>AARTIIND</t>
  </si>
  <si>
    <t>ABB</t>
  </si>
  <si>
    <t>ITC</t>
  </si>
  <si>
    <t>ABBOTINDIA</t>
  </si>
  <si>
    <t>ABCAPITAL</t>
  </si>
  <si>
    <t>ABFRL</t>
  </si>
  <si>
    <t>ACC</t>
  </si>
  <si>
    <t>ADANIENT</t>
  </si>
  <si>
    <t>ADANIPORTS</t>
  </si>
  <si>
    <t>ALKEM</t>
  </si>
  <si>
    <t>AMBUJACEM</t>
  </si>
  <si>
    <t>APOLLOHOSP</t>
  </si>
  <si>
    <t>APOLLOTYRE</t>
  </si>
  <si>
    <t>ASHOKLEY</t>
  </si>
  <si>
    <t>ASIANPAINT</t>
  </si>
  <si>
    <t>ASTRAL</t>
  </si>
  <si>
    <t>OI</t>
  </si>
  <si>
    <t>ATUL</t>
  </si>
  <si>
    <t>AUBANK</t>
  </si>
  <si>
    <t>AUROPHARMA</t>
  </si>
  <si>
    <t>AXISBANK</t>
  </si>
  <si>
    <t>BAJAJ-AUTO</t>
  </si>
  <si>
    <t>BAJAJFINSV</t>
  </si>
  <si>
    <t>BAJFINANCE</t>
  </si>
  <si>
    <t>BALKRISIND</t>
  </si>
  <si>
    <t>BALRAMCHIN</t>
  </si>
  <si>
    <t>BANDHANBNK</t>
  </si>
  <si>
    <t>BANKBARODA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</si>
  <si>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</si>
  <si>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</si>
  <si>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</si>
  <si>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</si>
  <si>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</si>
  <si>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</si>
  <si>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</si>
  <si>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</si>
  <si>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</si>
  <si>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</si>
  <si>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BSOFT</t>
  </si>
  <si>
    <t>CANBK</t>
  </si>
  <si>
    <t>CANFINHOME</t>
  </si>
  <si>
    <t>CHAMBLFERT</t>
  </si>
  <si>
    <t>CHOLAFIN</t>
  </si>
  <si>
    <t>CIPLA</t>
  </si>
  <si>
    <t>COALINDIA</t>
  </si>
  <si>
    <t>COFORGE</t>
  </si>
  <si>
    <t>COLPAL</t>
  </si>
  <si>
    <t>CONCOR</t>
  </si>
  <si>
    <t>COROMANDEL</t>
  </si>
  <si>
    <t>CROMPTON</t>
  </si>
  <si>
    <t>CUB</t>
  </si>
  <si>
    <t>CUMMINSIND</t>
  </si>
  <si>
    <t>DABUR</t>
  </si>
  <si>
    <t>DALBHARAT</t>
  </si>
  <si>
    <t>DELTACORP</t>
  </si>
  <si>
    <t>DIVISLAB</t>
  </si>
  <si>
    <t>DIXON</t>
  </si>
  <si>
    <t>DLF</t>
  </si>
  <si>
    <t>DRREDDY</t>
  </si>
  <si>
    <t>EICHERMOT</t>
  </si>
  <si>
    <t>ESCORTS</t>
  </si>
  <si>
    <t>EXIDEIND</t>
  </si>
  <si>
    <t>FEDERALBNK</t>
  </si>
  <si>
    <t>GAIL</t>
  </si>
  <si>
    <t>GLENMARK</t>
  </si>
  <si>
    <t>GMRINFRA</t>
  </si>
  <si>
    <t>GNFC</t>
  </si>
  <si>
    <t>GODREJCP</t>
  </si>
  <si>
    <t>GODREJPROP</t>
  </si>
  <si>
    <t>GRANULES</t>
  </si>
  <si>
    <t>GRASIM</t>
  </si>
  <si>
    <t>HAL</t>
  </si>
  <si>
    <t>HAVELLS</t>
  </si>
  <si>
    <t>HCLTECH</t>
  </si>
  <si>
    <t>HDFCAMC</t>
  </si>
  <si>
    <t>HDFCBANK</t>
  </si>
  <si>
    <t>HDFCLIFE</t>
  </si>
  <si>
    <t>HEROMOTOCO</t>
  </si>
  <si>
    <t>HINDALCO</t>
  </si>
  <si>
    <t>HINDCOPPER</t>
  </si>
  <si>
    <t>HINDPETRO</t>
  </si>
  <si>
    <t>HINDUNILVR</t>
  </si>
  <si>
    <t>IBULHSGFIN</t>
  </si>
  <si>
    <t>ICICIBANK</t>
  </si>
  <si>
    <t>ICICIGI</t>
  </si>
  <si>
    <t>ICICIPRULI</t>
  </si>
  <si>
    <t>IDEA</t>
  </si>
  <si>
    <t>IDFC</t>
  </si>
  <si>
    <t>IDFCFIRSTB</t>
  </si>
  <si>
    <t>IEX</t>
  </si>
  <si>
    <t>IGL</t>
  </si>
  <si>
    <t>INDHOTEL</t>
  </si>
  <si>
    <t>INDIACEM</t>
  </si>
  <si>
    <t>INDIAMART</t>
  </si>
  <si>
    <t>INDIGO</t>
  </si>
  <si>
    <t>INDUSINDBK</t>
  </si>
  <si>
    <t>INDUSTOWER</t>
  </si>
  <si>
    <t>INFY</t>
  </si>
  <si>
    <t>IOC</t>
  </si>
  <si>
    <t>IPCALAB</t>
  </si>
  <si>
    <t>IRCTC</t>
  </si>
  <si>
    <t>JINDALSTEL</t>
  </si>
  <si>
    <t>JKCEMENT</t>
  </si>
  <si>
    <t>JSWSTEEL</t>
  </si>
  <si>
    <t>JUBLFOOD</t>
  </si>
  <si>
    <t>KOTAKBANK</t>
  </si>
  <si>
    <t>L&amp;TFH</t>
  </si>
  <si>
    <t>LALPATHLAB</t>
  </si>
  <si>
    <t>LAURUSLABS</t>
  </si>
  <si>
    <t>LICHSGFIN</t>
  </si>
  <si>
    <t>LT</t>
  </si>
  <si>
    <t>LTTS</t>
  </si>
  <si>
    <t>LUPIN</t>
  </si>
  <si>
    <t>M&amp;M</t>
  </si>
  <si>
    <t>M&amp;MFIN</t>
  </si>
  <si>
    <t>MANAPPURAM</t>
  </si>
  <si>
    <t>MARICO</t>
  </si>
  <si>
    <t>MARUTI</t>
  </si>
  <si>
    <t>MCX</t>
  </si>
  <si>
    <t>METROPOLIS</t>
  </si>
  <si>
    <t>MFSL</t>
  </si>
  <si>
    <t>MGL</t>
  </si>
  <si>
    <t>MOTHERSON</t>
  </si>
  <si>
    <t>MPHASIS</t>
  </si>
  <si>
    <t>MRF</t>
  </si>
  <si>
    <t>MUTHOOTFIN</t>
  </si>
  <si>
    <t>NATIONALUM</t>
  </si>
  <si>
    <t>NAUKRI</t>
  </si>
  <si>
    <t>NAVINFLUOR</t>
  </si>
  <si>
    <t>NESTLEIND</t>
  </si>
  <si>
    <t>NMDC</t>
  </si>
  <si>
    <t>NTPC</t>
  </si>
  <si>
    <t>OBEROIRLTY</t>
  </si>
  <si>
    <t>OFSS</t>
  </si>
  <si>
    <t>ONGC</t>
  </si>
  <si>
    <t>PAGEIND</t>
  </si>
  <si>
    <t>PEL</t>
  </si>
  <si>
    <t>PERSISTENT</t>
  </si>
  <si>
    <t>PETRONET</t>
  </si>
  <si>
    <t>PFC</t>
  </si>
  <si>
    <t>PIDILITIND</t>
  </si>
  <si>
    <t>PIIND</t>
  </si>
  <si>
    <t>PNB</t>
  </si>
  <si>
    <t>POLYCAB</t>
  </si>
  <si>
    <t>POWERGRID</t>
  </si>
  <si>
    <t>RAMCOCEM</t>
  </si>
  <si>
    <t>RBLBANK</t>
  </si>
  <si>
    <t>RECLTD</t>
  </si>
  <si>
    <t>RELIANCE</t>
  </si>
  <si>
    <t>SAIL</t>
  </si>
  <si>
    <t>SBICARD</t>
  </si>
  <si>
    <t>SBILIFE</t>
  </si>
  <si>
    <t>SBIN</t>
  </si>
  <si>
    <t>SHREECEM</t>
  </si>
  <si>
    <t>SIEMENS</t>
  </si>
  <si>
    <t>SRF</t>
  </si>
  <si>
    <t>SUNPHARMA</t>
  </si>
  <si>
    <t>SUNTV</t>
  </si>
  <si>
    <t>SYNGENE</t>
  </si>
  <si>
    <t>TATACHEM</t>
  </si>
  <si>
    <t>TATACOMM</t>
  </si>
  <si>
    <t>TATACONSUM</t>
  </si>
  <si>
    <t>TATAMOTORS</t>
  </si>
  <si>
    <t>TATAPOWER</t>
  </si>
  <si>
    <t>TATASTEEL</t>
  </si>
  <si>
    <t>TCS</t>
  </si>
  <si>
    <t>TECHM</t>
  </si>
  <si>
    <t>TITAN</t>
  </si>
  <si>
    <t>TORNTPHARM</t>
  </si>
  <si>
    <t>TRENT</t>
  </si>
  <si>
    <t>TVSMOTOR</t>
  </si>
  <si>
    <t>UBL</t>
  </si>
  <si>
    <t>ULTRACEMCO</t>
  </si>
  <si>
    <t>UPL</t>
  </si>
  <si>
    <t>VEDL</t>
  </si>
  <si>
    <t>VOLTAS</t>
  </si>
  <si>
    <t>WIPRO</t>
  </si>
  <si>
    <t>ZEEL</t>
  </si>
  <si>
    <t>ZYDUSLIFE</t>
  </si>
  <si>
    <t>Tool_Activation_code</t>
  </si>
  <si>
    <t>PythonTrader</t>
  </si>
  <si>
    <t>Youtube</t>
  </si>
  <si>
    <t>Telegram</t>
  </si>
  <si>
    <t>Disclaimer : This tool has developed for traders to place a order via excel, its only an order execution tool not a trade suggestion. Any profit/loss happened due to any reason (technical/coding/….) end user will be only responsible. Please confirm if you want to use this tool.</t>
  </si>
  <si>
    <t>please update your finvasia credential
UserID , password is mandatory.
Please provide Totp,Vendor_code,api_secret to generate new session or provide existing token for login tool
Tool activation code should be PythonTrader or provided by developer</t>
  </si>
  <si>
    <t>Existing Token</t>
  </si>
  <si>
    <t>LoginMethod</t>
  </si>
  <si>
    <t>Welcome To Python Trader</t>
  </si>
  <si>
    <t>Tool developed by PythonTrader, Please follow us on social media site for more tools or freelancing work</t>
  </si>
  <si>
    <t>https://www.youtube.com/@pythontraders</t>
  </si>
  <si>
    <t>https://www.t.me/pythontrader</t>
  </si>
  <si>
    <t>BUY/SELL</t>
  </si>
  <si>
    <t>Entry Done @</t>
  </si>
  <si>
    <t>Exit Done @</t>
  </si>
  <si>
    <t>Latest SL</t>
  </si>
  <si>
    <t>PnL</t>
  </si>
  <si>
    <t>Exposure M.</t>
  </si>
  <si>
    <t>SPAN M.</t>
  </si>
  <si>
    <t>PYTHON TRADER</t>
  </si>
  <si>
    <t>Order Type</t>
  </si>
  <si>
    <t>Overall PnL</t>
  </si>
  <si>
    <t>Total Cash</t>
  </si>
  <si>
    <t>Used Margin</t>
  </si>
  <si>
    <t>OverALL PnL</t>
  </si>
  <si>
    <t>KillSwitch</t>
  </si>
  <si>
    <t>Reconfirm (0/1)</t>
  </si>
  <si>
    <t>Help : Please select execute in dropdown and reconfirm if you want to close all open position, 
it will close all your open position. 
So be careful while selecting/setting this value</t>
  </si>
  <si>
    <t>Please modify the cell whose header has orange colors. Others details will be set by system only.</t>
  </si>
  <si>
    <t>I accept the all Terms and Condition</t>
  </si>
  <si>
    <t>UserInput</t>
  </si>
  <si>
    <t>Symbol==&gt;&gt;</t>
  </si>
  <si>
    <t>RefreshRate==&gt;&gt;</t>
  </si>
  <si>
    <t>NoOfStrike==&gt;&gt;</t>
  </si>
  <si>
    <t>Additional Detail</t>
  </si>
  <si>
    <t>CALLS</t>
  </si>
  <si>
    <t>PUTS</t>
  </si>
  <si>
    <t>Delta</t>
  </si>
  <si>
    <t>CHNG IN OI</t>
  </si>
  <si>
    <t>VOLUME</t>
  </si>
  <si>
    <t>IV</t>
  </si>
  <si>
    <t>CHNG</t>
  </si>
  <si>
    <t>BID QTY</t>
  </si>
  <si>
    <t>BID PRICE</t>
  </si>
  <si>
    <t>ASK PRICE</t>
  </si>
  <si>
    <t>ASK QTY</t>
  </si>
  <si>
    <t>LTIM</t>
  </si>
  <si>
    <t>SHRIRAMFIN</t>
  </si>
  <si>
    <t>Python Trader</t>
  </si>
  <si>
    <t>Gamma</t>
  </si>
  <si>
    <t>Theta</t>
  </si>
  <si>
    <t>Vega</t>
  </si>
  <si>
    <t>Rho</t>
  </si>
  <si>
    <t>STRIKE</t>
  </si>
  <si>
    <t>Expiry List</t>
  </si>
  <si>
    <t>Segment==&gt;&gt;</t>
  </si>
  <si>
    <t>Expiry==&gt;&gt;</t>
  </si>
  <si>
    <t>ExpiryType==&gt;&gt;</t>
  </si>
  <si>
    <t>MONTHLY</t>
  </si>
  <si>
    <t>GreekMatch==&gt;&gt;</t>
  </si>
  <si>
    <t>NSE</t>
  </si>
  <si>
    <t>Call</t>
  </si>
  <si>
    <t>Put</t>
  </si>
  <si>
    <t>Near Future LTP</t>
  </si>
  <si>
    <t>Max Pain at Strike</t>
  </si>
  <si>
    <t>Ltp at Max Pain</t>
  </si>
  <si>
    <t>ATM Strike</t>
  </si>
  <si>
    <t>LTP at ATM</t>
  </si>
  <si>
    <t>Total OI</t>
  </si>
  <si>
    <t>Total OI Change</t>
  </si>
  <si>
    <t>Max OI</t>
  </si>
  <si>
    <t>Max OI at Strike</t>
  </si>
  <si>
    <t>LTP of Max OI Strike</t>
  </si>
  <si>
    <t>Max Change in OI addition</t>
  </si>
  <si>
    <t>Max OI addition at Srike</t>
  </si>
  <si>
    <t>LTP of Max OI addition Strike</t>
  </si>
  <si>
    <t>Max Change in OI unwinding</t>
  </si>
  <si>
    <t>Max OI unwinding at Srike</t>
  </si>
  <si>
    <t>LTP of Max OI unwinding Strike</t>
  </si>
  <si>
    <t>Trade Mode</t>
  </si>
  <si>
    <t>Entry Limit Price</t>
  </si>
  <si>
    <t>Entry Order ID</t>
  </si>
  <si>
    <t>Entry Remarks</t>
  </si>
  <si>
    <t>Exit Order ID</t>
  </si>
  <si>
    <t>Exit Remarks</t>
  </si>
  <si>
    <t>Trail Enable</t>
  </si>
  <si>
    <t>CDS:USDINR20JAN23F</t>
  </si>
  <si>
    <t>CDS:USDINR27JAN23F</t>
  </si>
  <si>
    <t>MCX:NATURALGAS25JAN23</t>
  </si>
  <si>
    <t>MCX:NATURALGAS23FEB23</t>
  </si>
  <si>
    <t>MCX:NATURALGAS28MAR23</t>
  </si>
  <si>
    <t>Telegram Token</t>
  </si>
  <si>
    <t>Telegram ID</t>
  </si>
  <si>
    <t>Sheet/Group Name</t>
  </si>
  <si>
    <t>Enable</t>
  </si>
  <si>
    <t>Trade_Terminal, Order_Book, OpenPosition,Holdings</t>
  </si>
  <si>
    <t>Recommended/Latest Youtube Video</t>
  </si>
  <si>
    <t>Telegram Notification</t>
  </si>
  <si>
    <t>Option_Chain_Input, Option_Chain_Output</t>
  </si>
  <si>
    <t>Option_Chain_pro_Input, Option_Chain_Pro_Output</t>
  </si>
  <si>
    <t>Voice Alert</t>
  </si>
  <si>
    <t>Latest Tool Developed by Python Trader</t>
  </si>
  <si>
    <t>User Action</t>
  </si>
  <si>
    <t>NSE:PNB-EQ</t>
  </si>
  <si>
    <t>Real</t>
  </si>
  <si>
    <t>New_Session</t>
  </si>
  <si>
    <t xml:space="preserve">
Python Installation https://www.youtube.com/watch?v=3oF2_AGxQOg&amp;ab_channel=PythonTrader
Multiple Option Chain https://www.youtube.com/watch?v=73Fpjhj86xs&amp;t=9s&amp;ab_channel=PythonTrader
Zerodha enctoken Login https://www.youtube.com/watch?v=oxe9M7hY7pg&amp;ab_channel=PythonTrader
Finvasia Trade Terminal https://www.youtube.com/watch?v=mPLBCT_Cxbw
Zerodha Trade Terminal https://www.youtube.com/watch?v=2MgPtQijtCw
Python Backtesting https://www.youtube.com/watch?v=_UN9sGeoeI4&amp;ab_channel=PythonTrader</t>
  </si>
  <si>
    <t>PVRINOX</t>
  </si>
  <si>
    <t xml:space="preserve">
Copy Trading tool (no paid api required) : Zerodha : 50 / user / month : https://youtu.be/tmrpKoTgH1I
Copy Trading tool : Finvasia : 50 / user / month : https://youtu.be/Pck2SDA9ao0
Bulk Order Slicing tool : Zerodha : 999 / year : https://youtu.be/ayOOtN_7CSE
Bulk Order Slicing tool : Finvasia : 999 / year : https://youtu.be/k-q_UnvUhNw
Multiple option chain : Zerodha : Free : https://www.youtube.com/watch?v=73Fpjhj86xs&amp;t=9s
Unlimited option chain generator into excel / gsheet : Zerodha : Free : https://youtu.be/73Fpjhj86xs
GTT order placement for finvasia : Finvasia : Free : https://youtu.be/3XW0OHj2_Ic
Investment (Grid trading) : Finvasia &amp; Zerodha : 10000 one time : nan
Rolling Straddle (option selling) : Finvasia : 5000 one time : nan
Excel Based Trade Terminal : Finvasia : Free : https://www.youtube.com/watch?v=mPLBCT_Cxbw
Excel Based Trade Terminal : Zerodha : Free : https://www.youtube.com/watch?v=2MgPtQijtCw
BOC 145 : Finvasia : Free : nan
BOC 200x : Finvasia : Free : https://www.youtube.com/watch?v=znsYASftZ88</t>
  </si>
  <si>
    <t>NRML</t>
  </si>
  <si>
    <t>BSE:SENSEX</t>
  </si>
  <si>
    <t>NSE:UPL-EQ</t>
  </si>
  <si>
    <t>BFO-OPT</t>
  </si>
  <si>
    <t>BANKEX</t>
  </si>
  <si>
    <t>SENSEX</t>
  </si>
  <si>
    <t>SENSEX50</t>
  </si>
  <si>
    <t>UNITDSPR</t>
  </si>
  <si>
    <t>DEEPAKNI</t>
  </si>
  <si>
    <t>GUJGAS</t>
  </si>
  <si>
    <t>Wrong credential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</si>
</sst>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8" x14ac:knownFonts="1">
    <font>
      <sz val="11"/>
      <color theme="1"/>
      <name val="Calibri"/>
      <family val="2"/>
      <scheme val="minor"/>
    </font>
    <font>
      <b/>
      <sz val="20"/>
      <color theme="0"/>
      <name val="Bodoni MT"/>
      <family val="1"/>
    </font>
    <font>
      <b/>
      <sz val="11"/>
      <color rgb="FF222222"/>
      <name val="Arial"/>
      <family val="2"/>
    </font>
    <font>
      <sz val="11"/>
      <color theme="1"/>
      <name val="Arial"/>
      <family val="2"/>
    </font>
    <font>
      <sz val="11"/>
      <color rgb="FF212226"/>
      <name val="Arial"/>
      <family val="2"/>
    </font>
    <font>
      <u/>
      <sz val="11"/>
      <color theme="10"/>
      <name val="Calibri"/>
      <family val="2"/>
    </font>
    <font>
      <b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rgb="FF3F3F3F"/>
      <name val="Calibri"/>
      <family val="2"/>
      <scheme val="minor"/>
    </font>
    <font>
      <b/>
      <sz val="2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3F3F3F"/>
      <name val="Calibri"/>
      <family val="2"/>
      <scheme val="minor"/>
    </font>
    <font>
      <sz val="7"/>
      <color rgb="FFFFFFFF"/>
      <name val="Roboto"/>
    </font>
    <font>
      <sz val="11"/>
      <color rgb="FFFF0000"/>
      <name val="Roboto"/>
    </font>
    <font>
      <sz val="12"/>
      <color rgb="FF222222"/>
      <name val="Arial"/>
      <family val="2"/>
    </font>
    <font>
      <sz val="12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E84C6"/>
        <bgColor indexed="64"/>
      </patternFill>
    </fill>
    <fill>
      <patternFill patternType="solid">
        <fgColor rgb="FFDCD620"/>
        <bgColor indexed="64"/>
      </patternFill>
    </fill>
    <fill>
      <patternFill patternType="solid">
        <fgColor rgb="FF76E01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3A2D7D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3F3F3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rgb="FFE3E3E3"/>
      </right>
      <top/>
      <bottom/>
      <diagonal/>
    </border>
    <border>
      <left style="medium">
        <color rgb="FFE3E3E3"/>
      </left>
      <right style="medium">
        <color rgb="FFE3E3E3"/>
      </right>
      <top style="medium">
        <color rgb="FFE3E3E3"/>
      </top>
      <bottom/>
      <diagonal/>
    </border>
    <border>
      <left/>
      <right style="medium">
        <color rgb="FFE3E3E3"/>
      </right>
      <top style="medium">
        <color rgb="FFE3E3E3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8" fillId="11" borderId="4" applyNumberFormat="0" applyAlignment="0" applyProtection="0"/>
    <xf numFmtId="0" fontId="7" fillId="12" borderId="5" applyNumberFormat="0" applyFont="0" applyAlignment="0" applyProtection="0"/>
  </cellStyleXfs>
  <cellXfs count="76">
    <xf numFmtId="0" fontId="0" fillId="0" borderId="0" xfId="0"/>
    <xf numFmtId="49" fontId="0" fillId="2" borderId="0" xfId="0" applyNumberFormat="1" applyFill="1"/>
    <xf numFmtId="49" fontId="0" fillId="0" borderId="0" xfId="0" applyNumberFormat="1"/>
    <xf numFmtId="2" fontId="0" fillId="0" borderId="1" xfId="0" applyNumberFormat="1" applyBorder="1"/>
    <xf numFmtId="1" fontId="0" fillId="3" borderId="0" xfId="0" applyNumberFormat="1" applyFill="1"/>
    <xf numFmtId="0" fontId="5" fillId="6" borderId="0" xfId="1" applyFill="1" applyBorder="1" applyAlignment="1" applyProtection="1">
      <alignment horizontal="center"/>
    </xf>
    <xf numFmtId="49" fontId="0" fillId="3" borderId="0" xfId="0" applyNumberFormat="1" applyFill="1" applyAlignment="1">
      <alignment vertical="top" wrapText="1"/>
    </xf>
    <xf numFmtId="0" fontId="2" fillId="8" borderId="0" xfId="0" applyFont="1" applyFill="1"/>
    <xf numFmtId="0" fontId="3" fillId="9" borderId="0" xfId="0" applyFont="1" applyFill="1"/>
    <xf numFmtId="1" fontId="0" fillId="9" borderId="0" xfId="0" applyNumberFormat="1" applyFill="1"/>
    <xf numFmtId="0" fontId="4" fillId="9" borderId="0" xfId="0" applyFont="1" applyFill="1"/>
    <xf numFmtId="49" fontId="0" fillId="10" borderId="0" xfId="0" applyNumberFormat="1" applyFill="1"/>
    <xf numFmtId="0" fontId="6" fillId="10" borderId="0" xfId="0" applyFont="1" applyFill="1"/>
    <xf numFmtId="49" fontId="9" fillId="3" borderId="3" xfId="0" applyNumberFormat="1" applyFont="1" applyFill="1" applyBorder="1" applyAlignment="1">
      <alignment horizontal="center" vertical="center" wrapText="1"/>
    </xf>
    <xf numFmtId="49" fontId="9" fillId="2" borderId="3" xfId="0" applyNumberFormat="1" applyFont="1" applyFill="1" applyBorder="1" applyAlignment="1">
      <alignment horizontal="center" vertical="center" wrapText="1"/>
    </xf>
    <xf numFmtId="0" fontId="10" fillId="11" borderId="3" xfId="2" applyFont="1" applyBorder="1" applyAlignment="1">
      <alignment horizontal="center" vertical="center" wrapText="1"/>
    </xf>
    <xf numFmtId="0" fontId="10" fillId="11" borderId="3" xfId="2" applyFont="1" applyBorder="1" applyAlignment="1">
      <alignment horizontal="center" vertical="center"/>
    </xf>
    <xf numFmtId="0" fontId="8" fillId="11" borderId="3" xfId="2" applyBorder="1" applyAlignment="1">
      <alignment horizontal="center" vertical="center"/>
    </xf>
    <xf numFmtId="164" fontId="10" fillId="13" borderId="8" xfId="2" applyNumberFormat="1" applyFont="1" applyFill="1" applyBorder="1" applyAlignment="1" applyProtection="1">
      <alignment horizontal="center" vertical="center"/>
    </xf>
    <xf numFmtId="164" fontId="10" fillId="11" borderId="8" xfId="2" applyNumberFormat="1" applyFont="1" applyBorder="1" applyAlignment="1" applyProtection="1">
      <alignment horizontal="center" vertical="center"/>
    </xf>
    <xf numFmtId="0" fontId="12" fillId="14" borderId="0" xfId="0" applyFont="1" applyFill="1" applyAlignment="1">
      <alignment horizontal="center" vertical="center"/>
    </xf>
    <xf numFmtId="0" fontId="13" fillId="11" borderId="3" xfId="2" applyFont="1" applyBorder="1" applyAlignment="1">
      <alignment horizontal="center" vertical="center"/>
    </xf>
    <xf numFmtId="0" fontId="13" fillId="11" borderId="3" xfId="2" applyFont="1" applyBorder="1" applyAlignment="1">
      <alignment horizontal="center" vertical="center" wrapText="1"/>
    </xf>
    <xf numFmtId="164" fontId="10" fillId="10" borderId="8" xfId="2" applyNumberFormat="1" applyFont="1" applyFill="1" applyBorder="1" applyAlignment="1" applyProtection="1">
      <alignment horizontal="center" vertical="center"/>
    </xf>
    <xf numFmtId="0" fontId="0" fillId="16" borderId="0" xfId="0" applyFill="1" applyAlignment="1">
      <alignment horizontal="center" vertical="center"/>
    </xf>
    <xf numFmtId="14" fontId="0" fillId="0" borderId="0" xfId="0" applyNumberFormat="1"/>
    <xf numFmtId="0" fontId="14" fillId="18" borderId="12" xfId="0" applyFont="1" applyFill="1" applyBorder="1" applyAlignment="1">
      <alignment horizontal="center" vertical="center" wrapText="1"/>
    </xf>
    <xf numFmtId="0" fontId="4" fillId="0" borderId="0" xfId="0" applyFont="1"/>
    <xf numFmtId="0" fontId="3" fillId="0" borderId="0" xfId="0" applyFont="1"/>
    <xf numFmtId="0" fontId="14" fillId="18" borderId="0" xfId="0" applyFont="1" applyFill="1" applyAlignment="1">
      <alignment horizontal="center" vertical="center" wrapText="1"/>
    </xf>
    <xf numFmtId="0" fontId="15" fillId="20" borderId="0" xfId="0" applyFont="1" applyFill="1" applyAlignment="1">
      <alignment horizontal="center" vertical="center" wrapText="1"/>
    </xf>
    <xf numFmtId="0" fontId="14" fillId="18" borderId="13" xfId="0" applyFont="1" applyFill="1" applyBorder="1" applyAlignment="1">
      <alignment horizontal="center" vertical="center" wrapText="1"/>
    </xf>
    <xf numFmtId="0" fontId="14" fillId="18" borderId="14" xfId="0" applyFont="1" applyFill="1" applyBorder="1" applyAlignment="1">
      <alignment horizontal="center" vertical="center" wrapText="1"/>
    </xf>
    <xf numFmtId="0" fontId="0" fillId="13" borderId="3" xfId="0" applyFill="1" applyBorder="1"/>
    <xf numFmtId="0" fontId="0" fillId="5" borderId="3" xfId="0" applyFill="1" applyBorder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14" fontId="0" fillId="3" borderId="0" xfId="0" applyNumberFormat="1" applyFill="1" applyAlignment="1">
      <alignment horizontal="center" vertical="center" wrapText="1"/>
    </xf>
    <xf numFmtId="0" fontId="0" fillId="0" borderId="3" xfId="0" applyBorder="1"/>
    <xf numFmtId="0" fontId="0" fillId="10" borderId="3" xfId="0" applyFill="1" applyBorder="1"/>
    <xf numFmtId="0" fontId="0" fillId="21" borderId="3" xfId="0" applyFill="1" applyBorder="1"/>
    <xf numFmtId="0" fontId="0" fillId="0" borderId="3" xfId="0" applyBorder="1" applyAlignment="1">
      <alignment horizontal="center" vertical="center"/>
    </xf>
    <xf numFmtId="0" fontId="16" fillId="0" borderId="0" xfId="0" applyFont="1"/>
    <xf numFmtId="0" fontId="0" fillId="13" borderId="0" xfId="0" applyFill="1"/>
    <xf numFmtId="49" fontId="0" fillId="2" borderId="3" xfId="0" applyNumberFormat="1" applyFill="1" applyBorder="1"/>
    <xf numFmtId="0" fontId="0" fillId="9" borderId="3" xfId="0" applyFill="1" applyBorder="1"/>
    <xf numFmtId="0" fontId="0" fillId="3" borderId="3" xfId="0" applyFill="1" applyBorder="1"/>
    <xf numFmtId="0" fontId="2" fillId="0" borderId="0" xfId="0" applyFont="1"/>
    <xf numFmtId="0" fontId="0" fillId="5" borderId="0" xfId="0" applyFill="1"/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49" fontId="0" fillId="20" borderId="0" xfId="0" applyNumberFormat="1" applyFill="1" applyAlignment="1">
      <alignment horizontal="center" vertical="center" wrapText="1"/>
    </xf>
    <xf numFmtId="49" fontId="0" fillId="3" borderId="0" xfId="0" applyNumberFormat="1" applyFill="1" applyAlignment="1">
      <alignment horizontal="left" vertical="top" wrapText="1"/>
    </xf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left"/>
    </xf>
    <xf numFmtId="0" fontId="0" fillId="5" borderId="0" xfId="0" applyFill="1" applyAlignment="1">
      <alignment horizontal="left" vertical="center" wrapText="1"/>
    </xf>
    <xf numFmtId="0" fontId="17" fillId="5" borderId="0" xfId="0" applyFont="1" applyFill="1" applyAlignment="1">
      <alignment horizontal="left" vertical="top" wrapText="1"/>
    </xf>
    <xf numFmtId="0" fontId="17" fillId="9" borderId="0" xfId="0" applyFont="1" applyFill="1" applyAlignment="1">
      <alignment horizontal="left" vertical="top" wrapText="1"/>
    </xf>
    <xf numFmtId="0" fontId="11" fillId="5" borderId="6" xfId="3" applyFont="1" applyFill="1" applyBorder="1" applyAlignment="1" applyProtection="1">
      <alignment horizontal="center" vertical="center"/>
    </xf>
    <xf numFmtId="0" fontId="11" fillId="12" borderId="0" xfId="3" applyFont="1" applyBorder="1" applyAlignment="1" applyProtection="1">
      <alignment horizontal="center" vertical="center"/>
    </xf>
    <xf numFmtId="0" fontId="11" fillId="12" borderId="7" xfId="3" applyFont="1" applyBorder="1" applyAlignment="1" applyProtection="1">
      <alignment horizontal="center" vertical="center"/>
    </xf>
    <xf numFmtId="0" fontId="11" fillId="12" borderId="6" xfId="3" applyFont="1" applyBorder="1" applyAlignment="1" applyProtection="1">
      <alignment horizontal="center" vertical="center"/>
    </xf>
    <xf numFmtId="49" fontId="9" fillId="3" borderId="6" xfId="0" applyNumberFormat="1" applyFont="1" applyFill="1" applyBorder="1" applyAlignment="1">
      <alignment horizontal="center" vertical="center" wrapText="1"/>
    </xf>
    <xf numFmtId="49" fontId="9" fillId="3" borderId="0" xfId="0" applyNumberFormat="1" applyFont="1" applyFill="1" applyAlignment="1">
      <alignment horizontal="center" vertical="center" wrapText="1"/>
    </xf>
    <xf numFmtId="49" fontId="9" fillId="3" borderId="11" xfId="0" applyNumberFormat="1" applyFont="1" applyFill="1" applyBorder="1" applyAlignment="1">
      <alignment horizontal="center" vertical="center" wrapText="1"/>
    </xf>
    <xf numFmtId="49" fontId="9" fillId="3" borderId="9" xfId="0" applyNumberFormat="1" applyFont="1" applyFill="1" applyBorder="1" applyAlignment="1">
      <alignment horizontal="center" vertical="center" wrapText="1"/>
    </xf>
    <xf numFmtId="49" fontId="9" fillId="3" borderId="2" xfId="0" applyNumberFormat="1" applyFont="1" applyFill="1" applyBorder="1" applyAlignment="1">
      <alignment horizontal="center" vertical="center" wrapText="1"/>
    </xf>
    <xf numFmtId="49" fontId="9" fillId="3" borderId="10" xfId="0" applyNumberFormat="1" applyFont="1" applyFill="1" applyBorder="1" applyAlignment="1">
      <alignment horizontal="center" vertical="center" wrapText="1"/>
    </xf>
    <xf numFmtId="0" fontId="0" fillId="15" borderId="0" xfId="0" applyFill="1" applyAlignment="1">
      <alignment horizontal="left" vertical="top" wrapText="1"/>
    </xf>
    <xf numFmtId="0" fontId="0" fillId="0" borderId="3" xfId="0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3" xfId="0" applyFill="1" applyBorder="1" applyAlignment="1">
      <alignment horizontal="center"/>
    </xf>
    <xf numFmtId="0" fontId="15" fillId="19" borderId="0" xfId="0" applyFont="1" applyFill="1" applyAlignment="1">
      <alignment horizontal="center" vertical="center" wrapText="1"/>
    </xf>
    <xf numFmtId="49" fontId="0" fillId="22" borderId="0" xfId="0" applyNumberFormat="1" applyFill="1" applyAlignment="1">
      <alignment horizontal="center" vertical="center" wrapText="1"/>
    </xf>
  </cellXfs>
  <cellStyles count="4">
    <cellStyle name="Hyperlink" xfId="1" builtinId="8"/>
    <cellStyle name="Normal" xfId="0" builtinId="0"/>
    <cellStyle name="Note" xfId="3" builtinId="10"/>
    <cellStyle name="Output" xfId="2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9"/>
  <sheetViews>
    <sheetView tabSelected="1" workbookViewId="0">
      <selection activeCell="E12" sqref="E12"/>
    </sheetView>
  </sheetViews>
  <sheetFormatPr defaultRowHeight="15" x14ac:dyDescent="0.25"/>
  <cols>
    <col min="1" max="1" width="45.7109375" bestFit="1" customWidth="1"/>
    <col min="2" max="2" width="44.42578125" customWidth="1"/>
    <col min="3" max="3" width="69.140625" customWidth="1"/>
    <col min="5" max="5" width="41.140625" bestFit="1" customWidth="1"/>
  </cols>
  <sheetData>
    <row r="1" spans="1:5" ht="26.25" x14ac:dyDescent="0.4">
      <c r="A1" s="49" t="s">
        <v>218</v>
      </c>
      <c r="B1" s="50"/>
      <c r="C1" s="50"/>
    </row>
    <row r="2" spans="1:5" x14ac:dyDescent="0.25">
      <c r="A2" s="1" t="s">
        <v>0</v>
      </c>
      <c r="B2" s="7"/>
      <c r="C2" s="75" t="s">
        <v>329</v>
      </c>
    </row>
    <row r="3" spans="1:5" x14ac:dyDescent="0.25">
      <c r="A3" s="1" t="s">
        <v>1</v>
      </c>
      <c r="B3" s="47"/>
      <c r="C3" s="53"/>
    </row>
    <row r="4" spans="1:5" x14ac:dyDescent="0.25">
      <c r="A4" s="11" t="s">
        <v>217</v>
      </c>
      <c r="B4" s="12" t="s">
        <v>315</v>
      </c>
      <c r="C4" s="53"/>
    </row>
    <row r="5" spans="1:5" x14ac:dyDescent="0.25">
      <c r="A5" s="1" t="s">
        <v>2</v>
      </c>
      <c r="B5" s="28"/>
      <c r="C5" s="53"/>
      <c r="E5" s="8"/>
    </row>
    <row r="6" spans="1:5" x14ac:dyDescent="0.25">
      <c r="A6" s="1" t="s">
        <v>3</v>
      </c>
      <c r="B6" s="7" t="str">
        <f>_xlfn.TEXTJOIN("_",FALSE,B2,"U")</f>
        <v>_U</v>
      </c>
      <c r="C6" s="1"/>
      <c r="E6" s="9"/>
    </row>
    <row r="7" spans="1:5" x14ac:dyDescent="0.25">
      <c r="A7" s="1" t="s">
        <v>4</v>
      </c>
      <c r="B7" s="27"/>
      <c r="C7" s="1"/>
      <c r="E7" s="10"/>
    </row>
    <row r="8" spans="1:5" ht="15.75" x14ac:dyDescent="0.25">
      <c r="A8" s="1" t="s">
        <v>216</v>
      </c>
      <c r="B8" s="42"/>
      <c r="C8" s="27"/>
      <c r="E8" s="11"/>
    </row>
    <row r="9" spans="1:5" x14ac:dyDescent="0.25">
      <c r="A9" s="1" t="s">
        <v>210</v>
      </c>
      <c r="B9" s="4" t="s">
        <v>211</v>
      </c>
      <c r="C9" s="27"/>
    </row>
    <row r="10" spans="1:5" x14ac:dyDescent="0.25">
      <c r="A10" s="44" t="s">
        <v>301</v>
      </c>
      <c r="B10" s="2"/>
      <c r="C10" s="2"/>
    </row>
    <row r="11" spans="1:5" x14ac:dyDescent="0.25">
      <c r="A11" s="44" t="s">
        <v>302</v>
      </c>
    </row>
    <row r="12" spans="1:5" ht="84" customHeight="1" x14ac:dyDescent="0.25">
      <c r="A12" s="54" t="s">
        <v>215</v>
      </c>
      <c r="B12" s="54"/>
      <c r="C12" s="54"/>
    </row>
    <row r="14" spans="1:5" x14ac:dyDescent="0.25">
      <c r="A14" s="51" t="s">
        <v>219</v>
      </c>
      <c r="B14" s="52"/>
      <c r="C14" s="2"/>
    </row>
    <row r="15" spans="1:5" x14ac:dyDescent="0.25">
      <c r="A15" s="1" t="s">
        <v>212</v>
      </c>
      <c r="B15" s="5" t="s">
        <v>220</v>
      </c>
    </row>
    <row r="16" spans="1:5" x14ac:dyDescent="0.25">
      <c r="A16" s="1" t="s">
        <v>213</v>
      </c>
      <c r="B16" s="5" t="s">
        <v>221</v>
      </c>
    </row>
    <row r="18" spans="1:3" ht="36.950000000000003" customHeight="1" x14ac:dyDescent="0.25">
      <c r="A18" s="55" t="s">
        <v>214</v>
      </c>
      <c r="B18" s="55"/>
      <c r="C18" s="55"/>
    </row>
    <row r="19" spans="1:3" x14ac:dyDescent="0.25">
      <c r="B19" s="6" t="s">
        <v>239</v>
      </c>
    </row>
  </sheetData>
  <mergeCells count="5">
    <mergeCell ref="A1:C1"/>
    <mergeCell ref="A14:B14"/>
    <mergeCell ref="C2:C5"/>
    <mergeCell ref="A12:C12"/>
    <mergeCell ref="A18:C18"/>
  </mergeCells>
  <dataValidations count="2">
    <dataValidation type="list" allowBlank="1" showInputMessage="1" showErrorMessage="1" sqref="B4" xr:uid="{00000000-0002-0000-0000-000000000000}">
      <formula1>"New_Session,Old_Token"</formula1>
    </dataValidation>
    <dataValidation type="list" allowBlank="1" showInputMessage="1" showErrorMessage="1" sqref="B19" xr:uid="{00000000-0002-0000-0000-000001000000}">
      <formula1>"Reject, I accept the all Terms and Condition"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6"/>
  <sheetViews>
    <sheetView workbookViewId="0">
      <selection activeCell="D9" sqref="D9:O9"/>
    </sheetView>
  </sheetViews>
  <sheetFormatPr defaultRowHeight="15" x14ac:dyDescent="0.25"/>
  <cols>
    <col min="1" max="1" width="45.42578125" bestFit="1" customWidth="1"/>
  </cols>
  <sheetData>
    <row r="1" spans="1:15" x14ac:dyDescent="0.25">
      <c r="A1" s="45" t="s">
        <v>303</v>
      </c>
      <c r="B1" s="45" t="s">
        <v>304</v>
      </c>
    </row>
    <row r="2" spans="1:15" x14ac:dyDescent="0.25">
      <c r="A2" s="39" t="s">
        <v>305</v>
      </c>
      <c r="B2" s="46" t="b">
        <v>1</v>
      </c>
      <c r="D2" s="56" t="s">
        <v>306</v>
      </c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</row>
    <row r="3" spans="1:15" x14ac:dyDescent="0.25">
      <c r="A3" s="39" t="s">
        <v>307</v>
      </c>
      <c r="B3" s="46" t="b">
        <v>1</v>
      </c>
      <c r="D3" s="57" t="s">
        <v>316</v>
      </c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</row>
    <row r="4" spans="1:15" x14ac:dyDescent="0.25">
      <c r="A4" s="39" t="s">
        <v>308</v>
      </c>
      <c r="B4" s="46" t="b">
        <v>1</v>
      </c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</row>
    <row r="5" spans="1:15" x14ac:dyDescent="0.25">
      <c r="A5" s="39" t="s">
        <v>309</v>
      </c>
      <c r="B5" s="46" t="b">
        <v>1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</row>
    <row r="6" spans="1:15" x14ac:dyDescent="0.25">
      <c r="A6" s="39" t="s">
        <v>310</v>
      </c>
      <c r="B6" s="46" t="b">
        <v>1</v>
      </c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</row>
    <row r="7" spans="1:15" x14ac:dyDescent="0.25"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</row>
    <row r="8" spans="1:15" x14ac:dyDescent="0.25"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</row>
    <row r="9" spans="1:15" x14ac:dyDescent="0.25">
      <c r="D9" s="56" t="s">
        <v>311</v>
      </c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</row>
    <row r="10" spans="1:15" x14ac:dyDescent="0.25">
      <c r="D10" s="58" t="s">
        <v>318</v>
      </c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</row>
    <row r="11" spans="1:15" x14ac:dyDescent="0.25"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</row>
    <row r="12" spans="1:15" x14ac:dyDescent="0.25"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</row>
    <row r="13" spans="1:15" x14ac:dyDescent="0.25"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</row>
    <row r="14" spans="1:15" x14ac:dyDescent="0.25"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</row>
    <row r="15" spans="1:15" x14ac:dyDescent="0.25"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</row>
    <row r="16" spans="1:15" x14ac:dyDescent="0.25"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</row>
    <row r="17" spans="4:15" x14ac:dyDescent="0.25"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</row>
    <row r="18" spans="4:15" x14ac:dyDescent="0.25"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</row>
    <row r="19" spans="4:15" x14ac:dyDescent="0.25"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</row>
    <row r="20" spans="4:15" x14ac:dyDescent="0.25"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</row>
    <row r="21" spans="4:15" x14ac:dyDescent="0.25"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</row>
    <row r="22" spans="4:15" x14ac:dyDescent="0.25"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</row>
    <row r="23" spans="4:15" x14ac:dyDescent="0.25"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</row>
    <row r="24" spans="4:15" x14ac:dyDescent="0.25"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</row>
    <row r="25" spans="4:15" x14ac:dyDescent="0.25"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</row>
    <row r="26" spans="4:15" x14ac:dyDescent="0.25"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</row>
  </sheetData>
  <mergeCells count="4">
    <mergeCell ref="D2:O2"/>
    <mergeCell ref="D3:O8"/>
    <mergeCell ref="D9:O9"/>
    <mergeCell ref="D10:O26"/>
  </mergeCells>
  <dataValidations count="1">
    <dataValidation type="list" allowBlank="1" showInputMessage="1" showErrorMessage="1" sqref="B2:B6" xr:uid="{00000000-0002-0000-0100-000000000000}">
      <formula1>"True,False"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C23"/>
  <sheetViews>
    <sheetView zoomScale="80" zoomScaleNormal="80" workbookViewId="0">
      <pane ySplit="3" topLeftCell="A4" activePane="bottomLeft" state="frozen"/>
      <selection pane="bottomLeft" activeCell="A10" sqref="A10"/>
    </sheetView>
  </sheetViews>
  <sheetFormatPr defaultRowHeight="15" x14ac:dyDescent="0.25"/>
  <cols>
    <col min="1" max="1" width="23.7109375" bestFit="1" customWidth="1"/>
    <col min="2" max="2" width="19.140625" customWidth="1"/>
    <col min="3" max="3" width="17.5703125" customWidth="1"/>
    <col min="4" max="4" width="15.42578125" customWidth="1"/>
    <col min="5" max="5" width="8.7109375" customWidth="1"/>
    <col min="6" max="6" width="16.7109375" customWidth="1"/>
    <col min="7" max="7" width="18.140625" customWidth="1"/>
    <col min="8" max="10" width="8.7109375" customWidth="1"/>
    <col min="16" max="16" width="10.140625" bestFit="1" customWidth="1"/>
    <col min="18" max="18" width="14.5703125" customWidth="1"/>
    <col min="19" max="19" width="11.42578125" bestFit="1" customWidth="1"/>
  </cols>
  <sheetData>
    <row r="1" spans="1:29" ht="19.5" customHeight="1" x14ac:dyDescent="0.25">
      <c r="A1" s="15" t="s">
        <v>232</v>
      </c>
      <c r="B1" s="15" t="s">
        <v>233</v>
      </c>
      <c r="C1" s="15" t="s">
        <v>227</v>
      </c>
      <c r="D1" s="16" t="s">
        <v>228</v>
      </c>
      <c r="E1" s="15"/>
      <c r="F1" s="15" t="s">
        <v>231</v>
      </c>
      <c r="G1" s="64" t="s">
        <v>238</v>
      </c>
      <c r="H1" s="65"/>
      <c r="I1" s="65"/>
      <c r="J1" s="66"/>
      <c r="K1" s="60" t="s">
        <v>229</v>
      </c>
      <c r="L1" s="61"/>
      <c r="M1" s="61"/>
      <c r="N1" s="61"/>
      <c r="O1" s="62"/>
      <c r="P1" s="17" t="s">
        <v>230</v>
      </c>
      <c r="S1" s="17" t="s">
        <v>289</v>
      </c>
    </row>
    <row r="2" spans="1:29" ht="42" customHeight="1" x14ac:dyDescent="0.25">
      <c r="A2" s="18">
        <v>7427.21</v>
      </c>
      <c r="B2" s="19">
        <v>0</v>
      </c>
      <c r="C2" s="19">
        <v>0</v>
      </c>
      <c r="D2" s="19">
        <v>0</v>
      </c>
      <c r="E2" s="19"/>
      <c r="F2" s="19">
        <v>0.95</v>
      </c>
      <c r="G2" s="67"/>
      <c r="H2" s="68"/>
      <c r="I2" s="68"/>
      <c r="J2" s="69"/>
      <c r="K2" s="63"/>
      <c r="L2" s="61"/>
      <c r="M2" s="61"/>
      <c r="N2" s="61"/>
      <c r="O2" s="62"/>
      <c r="P2" s="13" t="s">
        <v>319</v>
      </c>
      <c r="S2" s="13" t="s">
        <v>314</v>
      </c>
    </row>
    <row r="3" spans="1:29" ht="75" x14ac:dyDescent="0.25">
      <c r="A3" s="13" t="s">
        <v>5</v>
      </c>
      <c r="B3" s="14" t="s">
        <v>6</v>
      </c>
      <c r="C3" s="14" t="s">
        <v>7</v>
      </c>
      <c r="D3" s="14" t="s">
        <v>8</v>
      </c>
      <c r="E3" s="14" t="s">
        <v>9</v>
      </c>
      <c r="F3" s="14" t="s">
        <v>10</v>
      </c>
      <c r="G3" s="14" t="s">
        <v>11</v>
      </c>
      <c r="H3" s="14" t="s">
        <v>12</v>
      </c>
      <c r="I3" s="14" t="s">
        <v>13</v>
      </c>
      <c r="J3" s="14" t="s">
        <v>47</v>
      </c>
      <c r="K3" s="14" t="s">
        <v>14</v>
      </c>
      <c r="L3" s="14" t="s">
        <v>15</v>
      </c>
      <c r="M3" s="13" t="s">
        <v>16</v>
      </c>
      <c r="N3" s="13" t="s">
        <v>222</v>
      </c>
      <c r="O3" s="13" t="s">
        <v>17</v>
      </c>
      <c r="P3" s="13" t="s">
        <v>290</v>
      </c>
      <c r="Q3" s="14" t="s">
        <v>223</v>
      </c>
      <c r="R3" s="14" t="s">
        <v>291</v>
      </c>
      <c r="S3" s="14" t="s">
        <v>292</v>
      </c>
      <c r="T3" s="13" t="s">
        <v>18</v>
      </c>
      <c r="U3" s="14" t="s">
        <v>224</v>
      </c>
      <c r="V3" s="14" t="s">
        <v>293</v>
      </c>
      <c r="W3" s="14" t="s">
        <v>294</v>
      </c>
      <c r="X3" s="13" t="s">
        <v>19</v>
      </c>
      <c r="Y3" s="13" t="s">
        <v>20</v>
      </c>
      <c r="Z3" s="13" t="s">
        <v>295</v>
      </c>
      <c r="AA3" s="14" t="s">
        <v>225</v>
      </c>
      <c r="AB3" s="14" t="s">
        <v>21</v>
      </c>
      <c r="AC3" s="14" t="s">
        <v>226</v>
      </c>
    </row>
    <row r="4" spans="1:29" x14ac:dyDescent="0.25">
      <c r="A4" s="3" t="s">
        <v>321</v>
      </c>
      <c r="B4">
        <v>565.5</v>
      </c>
      <c r="C4">
        <v>568.35</v>
      </c>
      <c r="D4">
        <v>565.1</v>
      </c>
      <c r="E4">
        <v>565.9</v>
      </c>
      <c r="F4">
        <v>566.27</v>
      </c>
      <c r="G4">
        <v>565.6</v>
      </c>
      <c r="H4">
        <v>565.85</v>
      </c>
      <c r="I4">
        <v>51095</v>
      </c>
      <c r="J4" t="s">
        <v>22</v>
      </c>
      <c r="K4">
        <v>565.54999999999995</v>
      </c>
      <c r="L4">
        <v>-0.06</v>
      </c>
    </row>
    <row r="5" spans="1:29" x14ac:dyDescent="0.25">
      <c r="A5" t="s">
        <v>320</v>
      </c>
      <c r="B5">
        <v>66.489999999999995</v>
      </c>
      <c r="C5">
        <v>66.489999999999995</v>
      </c>
      <c r="D5">
        <v>65.87</v>
      </c>
      <c r="E5">
        <v>66.5</v>
      </c>
      <c r="F5">
        <v>66.03</v>
      </c>
      <c r="G5">
        <v>65.86</v>
      </c>
      <c r="H5">
        <v>66.5</v>
      </c>
      <c r="I5">
        <v>16</v>
      </c>
      <c r="J5" t="s">
        <v>22</v>
      </c>
      <c r="K5">
        <v>65.87</v>
      </c>
      <c r="L5">
        <v>-0.95</v>
      </c>
    </row>
    <row r="7" spans="1:29" x14ac:dyDescent="0.25">
      <c r="A7" t="s">
        <v>23</v>
      </c>
      <c r="B7">
        <v>19809.599999999999</v>
      </c>
      <c r="C7">
        <v>19832.849999999999</v>
      </c>
      <c r="D7">
        <v>19809.099999999999</v>
      </c>
      <c r="E7">
        <v>19802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>
        <v>19824.95</v>
      </c>
      <c r="L7">
        <v>0.12</v>
      </c>
    </row>
    <row r="8" spans="1:29" x14ac:dyDescent="0.25">
      <c r="A8" t="s">
        <v>24</v>
      </c>
      <c r="B8">
        <v>11.32</v>
      </c>
      <c r="C8">
        <v>11.47</v>
      </c>
      <c r="D8">
        <v>8.68</v>
      </c>
      <c r="E8">
        <v>11.32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>
        <v>11.05</v>
      </c>
      <c r="L8">
        <v>-2.39</v>
      </c>
    </row>
    <row r="9" spans="1:29" x14ac:dyDescent="0.25">
      <c r="A9" t="s">
        <v>25</v>
      </c>
      <c r="B9">
        <v>43607.35</v>
      </c>
      <c r="C9">
        <v>43647</v>
      </c>
      <c r="D9">
        <v>43590.5</v>
      </c>
      <c r="E9">
        <v>43577.5</v>
      </c>
      <c r="F9" t="s">
        <v>22</v>
      </c>
      <c r="G9" t="s">
        <v>22</v>
      </c>
      <c r="H9" t="s">
        <v>22</v>
      </c>
      <c r="I9" t="s">
        <v>22</v>
      </c>
      <c r="J9" t="s">
        <v>22</v>
      </c>
      <c r="K9">
        <v>43639.199999999997</v>
      </c>
      <c r="L9">
        <v>0.14000000000000001</v>
      </c>
    </row>
    <row r="10" spans="1:29" x14ac:dyDescent="0.25">
      <c r="A10" t="s">
        <v>26</v>
      </c>
      <c r="B10">
        <v>19595.45</v>
      </c>
      <c r="C10">
        <v>19613.2</v>
      </c>
      <c r="D10">
        <v>19592.05</v>
      </c>
      <c r="E10">
        <v>19587.25</v>
      </c>
      <c r="F10" t="s">
        <v>22</v>
      </c>
      <c r="G10" t="s">
        <v>22</v>
      </c>
      <c r="H10" t="s">
        <v>22</v>
      </c>
      <c r="I10" t="s">
        <v>22</v>
      </c>
      <c r="J10" t="s">
        <v>22</v>
      </c>
      <c r="K10">
        <v>19610.400000000001</v>
      </c>
      <c r="L10">
        <v>0.12</v>
      </c>
    </row>
    <row r="11" spans="1:29" x14ac:dyDescent="0.25">
      <c r="A11" t="s">
        <v>27</v>
      </c>
      <c r="B11">
        <v>13.65</v>
      </c>
      <c r="C11">
        <v>13.75</v>
      </c>
      <c r="D11">
        <v>13.55</v>
      </c>
      <c r="E11">
        <v>13.6</v>
      </c>
      <c r="F11">
        <v>13.65</v>
      </c>
      <c r="G11">
        <v>13.65</v>
      </c>
      <c r="H11">
        <v>13.7</v>
      </c>
      <c r="I11">
        <v>32487737</v>
      </c>
      <c r="J11" t="s">
        <v>22</v>
      </c>
      <c r="K11">
        <v>13.65</v>
      </c>
      <c r="L11">
        <v>0.37</v>
      </c>
    </row>
    <row r="12" spans="1:29" x14ac:dyDescent="0.25">
      <c r="A12" t="s">
        <v>28</v>
      </c>
      <c r="B12">
        <v>2391.6</v>
      </c>
      <c r="C12">
        <v>2402.6</v>
      </c>
      <c r="D12">
        <v>2391.0500000000002</v>
      </c>
      <c r="E12">
        <v>2395.5</v>
      </c>
      <c r="F12">
        <v>2396.8000000000002</v>
      </c>
      <c r="G12">
        <v>2399.65</v>
      </c>
      <c r="H12">
        <v>2399.9</v>
      </c>
      <c r="I12">
        <v>250409</v>
      </c>
      <c r="J12" t="s">
        <v>22</v>
      </c>
      <c r="K12">
        <v>2399.9</v>
      </c>
      <c r="L12">
        <v>0.18</v>
      </c>
    </row>
    <row r="13" spans="1:29" x14ac:dyDescent="0.25">
      <c r="A13" t="s">
        <v>29</v>
      </c>
      <c r="B13">
        <v>1328.9</v>
      </c>
      <c r="C13">
        <v>1332.65</v>
      </c>
      <c r="D13">
        <v>1321.25</v>
      </c>
      <c r="E13">
        <v>1329</v>
      </c>
      <c r="F13">
        <v>1325.45</v>
      </c>
      <c r="G13">
        <v>1323.6</v>
      </c>
      <c r="H13">
        <v>1324</v>
      </c>
      <c r="I13">
        <v>103862</v>
      </c>
      <c r="J13" t="s">
        <v>22</v>
      </c>
      <c r="K13">
        <v>1323.65</v>
      </c>
      <c r="L13">
        <v>-0.4</v>
      </c>
    </row>
    <row r="14" spans="1:29" x14ac:dyDescent="0.25">
      <c r="A14" t="s">
        <v>313</v>
      </c>
      <c r="B14">
        <v>76.75</v>
      </c>
      <c r="C14">
        <v>76.95</v>
      </c>
      <c r="D14">
        <v>76.5</v>
      </c>
      <c r="E14">
        <v>76.55</v>
      </c>
      <c r="F14">
        <v>76.81</v>
      </c>
      <c r="G14">
        <v>76.900000000000006</v>
      </c>
      <c r="H14">
        <v>76.95</v>
      </c>
      <c r="I14">
        <v>1640729</v>
      </c>
      <c r="J14" t="s">
        <v>22</v>
      </c>
      <c r="K14">
        <v>76.900000000000006</v>
      </c>
      <c r="L14">
        <v>0.46</v>
      </c>
    </row>
    <row r="16" spans="1:29" x14ac:dyDescent="0.25">
      <c r="A16" t="s">
        <v>296</v>
      </c>
    </row>
    <row r="17" spans="1:12" x14ac:dyDescent="0.25">
      <c r="A17" t="s">
        <v>297</v>
      </c>
    </row>
    <row r="19" spans="1:12" x14ac:dyDescent="0.25">
      <c r="A19" t="s">
        <v>298</v>
      </c>
    </row>
    <row r="20" spans="1:12" x14ac:dyDescent="0.25">
      <c r="A20" t="s">
        <v>299</v>
      </c>
    </row>
    <row r="21" spans="1:12" x14ac:dyDescent="0.25">
      <c r="A21" t="s">
        <v>300</v>
      </c>
    </row>
    <row r="23" spans="1:12" x14ac:dyDescent="0.25">
      <c r="A23" t="s">
        <v>29</v>
      </c>
      <c r="B23">
        <v>1328.9</v>
      </c>
      <c r="C23">
        <v>1332.65</v>
      </c>
      <c r="D23">
        <v>1321.25</v>
      </c>
      <c r="E23">
        <v>1329</v>
      </c>
      <c r="F23">
        <v>1325.45</v>
      </c>
      <c r="G23">
        <v>1323.6</v>
      </c>
      <c r="H23">
        <v>1324</v>
      </c>
      <c r="I23">
        <v>103862</v>
      </c>
      <c r="J23" t="s">
        <v>22</v>
      </c>
      <c r="K23">
        <v>1323.65</v>
      </c>
      <c r="L23">
        <v>-0.4</v>
      </c>
    </row>
  </sheetData>
  <mergeCells count="2">
    <mergeCell ref="K1:O2"/>
    <mergeCell ref="G1:J2"/>
  </mergeCells>
  <dataValidations count="7">
    <dataValidation type="list" allowBlank="1" showInputMessage="1" showErrorMessage="1" sqref="P2" xr:uid="{00000000-0002-0000-0200-000000000000}">
      <formula1>"NRML,MIS"</formula1>
    </dataValidation>
    <dataValidation type="list" allowBlank="1" showInputMessage="1" showErrorMessage="1" sqref="N4:N174" xr:uid="{00000000-0002-0000-0200-000001000000}">
      <formula1>"BUY,SELL"</formula1>
    </dataValidation>
    <dataValidation type="list" allowBlank="1" showInputMessage="1" showErrorMessage="1" sqref="Q7" xr:uid="{00000000-0002-0000-0200-000002000000}">
      <formula1>"TRUE,FALSE"</formula1>
    </dataValidation>
    <dataValidation type="list" allowBlank="1" showInputMessage="1" showErrorMessage="1" sqref="S2" xr:uid="{00000000-0002-0000-0200-000003000000}">
      <formula1>"Paper,Real"</formula1>
    </dataValidation>
    <dataValidation type="list" allowBlank="1" showInputMessage="1" showErrorMessage="1" sqref="T4:T162" xr:uid="{00000000-0002-0000-0200-000004000000}">
      <formula1>"False, True_Market, True_Limit_LTP"</formula1>
    </dataValidation>
    <dataValidation type="list" allowBlank="1" showInputMessage="1" showErrorMessage="1" sqref="O4:O171" xr:uid="{00000000-0002-0000-0200-000005000000}">
      <formula1>"False, True_Market, True_Limit_LTP, Limit_Below, Limit_Above"</formula1>
    </dataValidation>
    <dataValidation type="list" allowBlank="1" showInputMessage="1" showErrorMessage="1" sqref="Z4:Z258" xr:uid="{00000000-0002-0000-0200-000006000000}">
      <formula1>"False, True"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10.42578125" bestFit="1" customWidth="1"/>
    <col min="2" max="2" width="11.85546875" bestFit="1" customWidth="1"/>
    <col min="3" max="3" width="9.85546875" bestFit="1" customWidth="1"/>
    <col min="4" max="4" width="8.5703125" bestFit="1" customWidth="1"/>
    <col min="5" max="5" width="13.7109375" bestFit="1" customWidth="1"/>
    <col min="6" max="6" width="11.7109375" bestFit="1" customWidth="1"/>
    <col min="7" max="7" width="15.140625" bestFit="1" customWidth="1"/>
    <col min="8" max="8" width="8" bestFit="1" customWidth="1"/>
    <col min="9" max="9" width="5.85546875" bestFit="1" customWidth="1"/>
    <col min="10" max="10" width="10.140625" bestFit="1" customWidth="1"/>
    <col min="11" max="11" width="5.85546875" bestFit="1" customWidth="1"/>
    <col min="12" max="12" width="7" bestFit="1" customWidth="1"/>
    <col min="13" max="13" width="13.28515625" bestFit="1" customWidth="1"/>
    <col min="14" max="14" width="12.85546875" bestFit="1" customWidth="1"/>
  </cols>
  <sheetData>
    <row r="1" spans="1:1" x14ac:dyDescent="0.25">
      <c r="A1" t="s">
        <v>312</v>
      </c>
    </row>
  </sheetData>
  <dataValidations count="1">
    <dataValidation type="list" allowBlank="1" showInputMessage="1" showErrorMessage="1" sqref="A2:A167" xr:uid="{00000000-0002-0000-0300-000000000000}">
      <formula1>"False,CANCEL"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T3"/>
  <sheetViews>
    <sheetView workbookViewId="0">
      <pane ySplit="2" topLeftCell="A3" activePane="bottomLeft" state="frozen"/>
      <selection pane="bottomLeft" activeCell="D13" sqref="D13"/>
    </sheetView>
  </sheetViews>
  <sheetFormatPr defaultRowHeight="15" x14ac:dyDescent="0.25"/>
  <cols>
    <col min="1" max="1" width="14.140625" bestFit="1" customWidth="1"/>
    <col min="2" max="2" width="8.5703125" bestFit="1" customWidth="1"/>
    <col min="3" max="3" width="7.85546875" bestFit="1" customWidth="1"/>
    <col min="4" max="4" width="11.42578125" bestFit="1" customWidth="1"/>
    <col min="5" max="5" width="18" bestFit="1" customWidth="1"/>
    <col min="6" max="6" width="8.28515625" bestFit="1" customWidth="1"/>
    <col min="7" max="7" width="8.5703125" bestFit="1" customWidth="1"/>
    <col min="8" max="8" width="14.5703125" bestFit="1" customWidth="1"/>
    <col min="9" max="9" width="11.5703125" bestFit="1" customWidth="1"/>
    <col min="10" max="10" width="11.28515625" bestFit="1" customWidth="1"/>
    <col min="11" max="11" width="11.85546875" bestFit="1" customWidth="1"/>
    <col min="12" max="12" width="12.140625" bestFit="1" customWidth="1"/>
    <col min="13" max="13" width="16.5703125" bestFit="1" customWidth="1"/>
    <col min="14" max="14" width="16.42578125" bestFit="1" customWidth="1"/>
  </cols>
  <sheetData>
    <row r="1" spans="1:20" ht="37.5" x14ac:dyDescent="0.25">
      <c r="A1" s="20" t="s">
        <v>234</v>
      </c>
      <c r="B1" s="21"/>
      <c r="C1" s="21"/>
      <c r="D1" s="21" t="s">
        <v>235</v>
      </c>
      <c r="E1" s="22" t="s">
        <v>236</v>
      </c>
      <c r="F1" s="70" t="s">
        <v>237</v>
      </c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</row>
    <row r="2" spans="1:20" ht="19.5" x14ac:dyDescent="0.25">
      <c r="A2" s="23">
        <v>0.95</v>
      </c>
      <c r="B2" s="24"/>
      <c r="C2" s="24"/>
      <c r="D2" s="24" t="b">
        <v>0</v>
      </c>
      <c r="E2" s="24">
        <v>0</v>
      </c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</row>
    <row r="3" spans="1:20" x14ac:dyDescent="0.25">
      <c r="A3" t="s">
        <v>312</v>
      </c>
    </row>
  </sheetData>
  <mergeCells count="1">
    <mergeCell ref="F1:T2"/>
  </mergeCells>
  <dataValidations count="4">
    <dataValidation type="list" allowBlank="1" showInputMessage="1" showErrorMessage="1" sqref="C2" xr:uid="{00000000-0002-0000-0400-000000000000}">
      <formula1>"NSE,NFO,CDS,MCX,ALL"</formula1>
    </dataValidation>
    <dataValidation type="list" allowBlank="1" showInputMessage="1" showErrorMessage="1" sqref="B2 D2" xr:uid="{00000000-0002-0000-0400-000001000000}">
      <formula1>"False,Execute"</formula1>
    </dataValidation>
    <dataValidation type="list" allowBlank="1" showInputMessage="1" showErrorMessage="1" sqref="E2" xr:uid="{00000000-0002-0000-0400-000002000000}">
      <formula1>"0,1"</formula1>
    </dataValidation>
    <dataValidation type="list" allowBlank="1" showInputMessage="1" showErrorMessage="1" sqref="A4:A22" xr:uid="{00000000-0002-0000-0400-000003000000}">
      <formula1>"False,Square_Off"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>
      <selection activeCell="C9" sqref="C9"/>
    </sheetView>
  </sheetViews>
  <sheetFormatPr defaultRowHeight="15" x14ac:dyDescent="0.25"/>
  <cols>
    <col min="1" max="1" width="8.5703125" bestFit="1" customWidth="1"/>
    <col min="2" max="2" width="10.28515625" bestFit="1" customWidth="1"/>
    <col min="3" max="3" width="14.5703125" bestFit="1" customWidth="1"/>
    <col min="4" max="4" width="21.7109375" bestFit="1" customWidth="1"/>
    <col min="5" max="5" width="12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88"/>
  <sheetViews>
    <sheetView workbookViewId="0">
      <selection activeCell="E4" sqref="E4"/>
    </sheetView>
  </sheetViews>
  <sheetFormatPr defaultColWidth="27.5703125" defaultRowHeight="15" x14ac:dyDescent="0.25"/>
  <cols>
    <col min="1" max="1" width="11.85546875" bestFit="1" customWidth="1"/>
    <col min="2" max="2" width="13.42578125" customWidth="1"/>
    <col min="3" max="3" width="6.5703125" bestFit="1" customWidth="1"/>
    <col min="4" max="4" width="15.140625" bestFit="1" customWidth="1"/>
    <col min="5" max="5" width="11.28515625" customWidth="1"/>
    <col min="8" max="8" width="26.85546875" bestFit="1" customWidth="1"/>
    <col min="9" max="10" width="6.85546875" bestFit="1" customWidth="1"/>
  </cols>
  <sheetData>
    <row r="1" spans="1:10" x14ac:dyDescent="0.25">
      <c r="A1" t="s">
        <v>5</v>
      </c>
      <c r="B1" t="s">
        <v>264</v>
      </c>
      <c r="C1" t="s">
        <v>30</v>
      </c>
      <c r="D1" s="72" t="s">
        <v>240</v>
      </c>
      <c r="E1" s="72"/>
      <c r="H1" s="73" t="s">
        <v>244</v>
      </c>
      <c r="I1" s="73"/>
      <c r="J1" s="73"/>
    </row>
    <row r="2" spans="1:10" x14ac:dyDescent="0.25">
      <c r="A2" t="s">
        <v>323</v>
      </c>
      <c r="B2" s="25">
        <v>45254</v>
      </c>
      <c r="C2">
        <v>15</v>
      </c>
      <c r="D2" t="s">
        <v>265</v>
      </c>
      <c r="E2" s="35" t="s">
        <v>322</v>
      </c>
      <c r="H2" s="38"/>
      <c r="I2" s="39" t="s">
        <v>271</v>
      </c>
      <c r="J2" s="40" t="s">
        <v>272</v>
      </c>
    </row>
    <row r="3" spans="1:10" x14ac:dyDescent="0.25">
      <c r="A3" t="s">
        <v>324</v>
      </c>
      <c r="B3" s="25">
        <v>45264</v>
      </c>
      <c r="C3">
        <v>15</v>
      </c>
      <c r="D3" t="s">
        <v>241</v>
      </c>
      <c r="E3" s="36" t="s">
        <v>323</v>
      </c>
      <c r="H3" s="41" t="s">
        <v>273</v>
      </c>
      <c r="I3" s="71">
        <v>49154.55</v>
      </c>
      <c r="J3" s="71"/>
    </row>
    <row r="4" spans="1:10" x14ac:dyDescent="0.25">
      <c r="A4" t="s">
        <v>31</v>
      </c>
      <c r="B4" s="25">
        <v>45271</v>
      </c>
      <c r="C4">
        <v>15</v>
      </c>
      <c r="D4" t="s">
        <v>266</v>
      </c>
      <c r="E4" s="37">
        <f>B2</f>
        <v>45254</v>
      </c>
      <c r="H4" s="41" t="s">
        <v>274</v>
      </c>
      <c r="I4" s="71">
        <v>49200</v>
      </c>
      <c r="J4" s="71"/>
    </row>
    <row r="5" spans="1:10" x14ac:dyDescent="0.25">
      <c r="A5" t="s">
        <v>32</v>
      </c>
      <c r="B5" s="25">
        <v>45278</v>
      </c>
      <c r="C5">
        <v>15</v>
      </c>
      <c r="D5" t="s">
        <v>242</v>
      </c>
      <c r="E5" s="36">
        <v>5</v>
      </c>
      <c r="H5" s="41" t="s">
        <v>275</v>
      </c>
      <c r="I5" s="41">
        <v>55.65</v>
      </c>
      <c r="J5" s="41">
        <v>103.5</v>
      </c>
    </row>
    <row r="6" spans="1:10" x14ac:dyDescent="0.25">
      <c r="A6" t="s">
        <v>34</v>
      </c>
      <c r="B6" s="25">
        <v>45282</v>
      </c>
      <c r="C6">
        <v>15</v>
      </c>
      <c r="D6" t="s">
        <v>243</v>
      </c>
      <c r="E6" s="36">
        <v>10</v>
      </c>
      <c r="H6" s="41" t="s">
        <v>276</v>
      </c>
      <c r="I6" s="71">
        <v>49200</v>
      </c>
      <c r="J6" s="71"/>
    </row>
    <row r="7" spans="1:10" x14ac:dyDescent="0.25">
      <c r="A7" t="s">
        <v>35</v>
      </c>
      <c r="B7" s="25">
        <v>45292</v>
      </c>
      <c r="C7">
        <v>15</v>
      </c>
      <c r="D7" t="s">
        <v>267</v>
      </c>
      <c r="E7" s="36" t="s">
        <v>268</v>
      </c>
      <c r="H7" s="41" t="s">
        <v>277</v>
      </c>
      <c r="I7" s="41">
        <v>55.65</v>
      </c>
      <c r="J7" s="41">
        <v>103.5</v>
      </c>
    </row>
    <row r="8" spans="1:10" x14ac:dyDescent="0.25">
      <c r="A8" t="s">
        <v>36</v>
      </c>
      <c r="B8" s="25">
        <v>45299</v>
      </c>
      <c r="C8">
        <v>15</v>
      </c>
      <c r="D8" t="s">
        <v>269</v>
      </c>
      <c r="E8" s="36" t="s">
        <v>270</v>
      </c>
      <c r="H8" s="41" t="s">
        <v>278</v>
      </c>
      <c r="I8" s="41">
        <v>59850</v>
      </c>
      <c r="J8" s="41">
        <v>50159</v>
      </c>
    </row>
    <row r="9" spans="1:10" x14ac:dyDescent="0.25">
      <c r="A9" t="s">
        <v>37</v>
      </c>
      <c r="B9" s="25">
        <v>45320</v>
      </c>
      <c r="C9">
        <v>15</v>
      </c>
      <c r="H9" s="41" t="s">
        <v>279</v>
      </c>
      <c r="I9" s="41">
        <v>59850</v>
      </c>
      <c r="J9" s="41">
        <v>50159</v>
      </c>
    </row>
    <row r="10" spans="1:10" x14ac:dyDescent="0.25">
      <c r="A10" t="s">
        <v>38</v>
      </c>
      <c r="B10" s="25"/>
      <c r="H10" s="41" t="s">
        <v>280</v>
      </c>
      <c r="I10" s="41">
        <v>8797</v>
      </c>
      <c r="J10" s="41">
        <v>9008</v>
      </c>
    </row>
    <row r="11" spans="1:10" x14ac:dyDescent="0.25">
      <c r="A11" t="s">
        <v>39</v>
      </c>
      <c r="B11" s="25"/>
      <c r="H11" s="41" t="s">
        <v>281</v>
      </c>
      <c r="I11" s="41">
        <v>49200</v>
      </c>
      <c r="J11" s="41">
        <v>49000</v>
      </c>
    </row>
    <row r="12" spans="1:10" x14ac:dyDescent="0.25">
      <c r="A12" t="s">
        <v>40</v>
      </c>
      <c r="B12" s="25"/>
      <c r="H12" s="41" t="s">
        <v>282</v>
      </c>
      <c r="I12" s="41">
        <v>55.65</v>
      </c>
      <c r="J12" s="41">
        <v>34.15</v>
      </c>
    </row>
    <row r="13" spans="1:10" x14ac:dyDescent="0.25">
      <c r="A13" t="s">
        <v>41</v>
      </c>
      <c r="B13" s="25"/>
      <c r="H13" s="41" t="s">
        <v>283</v>
      </c>
      <c r="I13" s="41">
        <v>8797</v>
      </c>
      <c r="J13" s="41">
        <v>9008</v>
      </c>
    </row>
    <row r="14" spans="1:10" x14ac:dyDescent="0.25">
      <c r="A14" t="s">
        <v>42</v>
      </c>
      <c r="B14" s="25"/>
      <c r="H14" s="41" t="s">
        <v>284</v>
      </c>
      <c r="I14" s="41">
        <v>49200</v>
      </c>
      <c r="J14" s="41">
        <v>49000</v>
      </c>
    </row>
    <row r="15" spans="1:10" x14ac:dyDescent="0.25">
      <c r="A15" t="s">
        <v>43</v>
      </c>
      <c r="B15" s="25"/>
      <c r="H15" s="41" t="s">
        <v>285</v>
      </c>
      <c r="I15" s="41">
        <v>55.65</v>
      </c>
      <c r="J15" s="41">
        <v>34.15</v>
      </c>
    </row>
    <row r="16" spans="1:10" x14ac:dyDescent="0.25">
      <c r="A16" t="s">
        <v>44</v>
      </c>
      <c r="B16" s="25"/>
      <c r="H16" s="41" t="s">
        <v>286</v>
      </c>
      <c r="I16" s="41">
        <v>0</v>
      </c>
      <c r="J16" s="41">
        <v>0</v>
      </c>
    </row>
    <row r="17" spans="1:10" x14ac:dyDescent="0.25">
      <c r="A17" t="s">
        <v>45</v>
      </c>
      <c r="B17" s="25"/>
      <c r="H17" s="41" t="s">
        <v>287</v>
      </c>
      <c r="I17" s="41">
        <v>48400</v>
      </c>
      <c r="J17" s="41">
        <v>50100</v>
      </c>
    </row>
    <row r="18" spans="1:10" x14ac:dyDescent="0.25">
      <c r="A18" t="s">
        <v>46</v>
      </c>
      <c r="B18" s="25"/>
      <c r="H18" s="41" t="s">
        <v>288</v>
      </c>
      <c r="I18" s="41">
        <v>0</v>
      </c>
      <c r="J18" s="41">
        <v>0</v>
      </c>
    </row>
    <row r="19" spans="1:10" x14ac:dyDescent="0.25">
      <c r="A19" t="s">
        <v>48</v>
      </c>
      <c r="B19" s="25"/>
    </row>
    <row r="20" spans="1:10" x14ac:dyDescent="0.25">
      <c r="A20" t="s">
        <v>49</v>
      </c>
      <c r="B20" s="25"/>
    </row>
    <row r="21" spans="1:10" x14ac:dyDescent="0.25">
      <c r="A21" t="s">
        <v>50</v>
      </c>
    </row>
    <row r="22" spans="1:10" x14ac:dyDescent="0.25">
      <c r="A22" t="s">
        <v>51</v>
      </c>
    </row>
    <row r="23" spans="1:10" x14ac:dyDescent="0.25">
      <c r="A23" t="s">
        <v>52</v>
      </c>
    </row>
    <row r="24" spans="1:10" x14ac:dyDescent="0.25">
      <c r="A24" t="s">
        <v>53</v>
      </c>
    </row>
    <row r="25" spans="1:10" x14ac:dyDescent="0.25">
      <c r="A25" t="s">
        <v>54</v>
      </c>
    </row>
    <row r="26" spans="1:10" x14ac:dyDescent="0.25">
      <c r="A26" t="s">
        <v>55</v>
      </c>
    </row>
    <row r="27" spans="1:10" x14ac:dyDescent="0.25">
      <c r="A27" t="s">
        <v>56</v>
      </c>
    </row>
    <row r="28" spans="1:10" x14ac:dyDescent="0.25">
      <c r="A28" t="s">
        <v>57</v>
      </c>
    </row>
    <row r="29" spans="1:10" x14ac:dyDescent="0.25">
      <c r="A29" t="s">
        <v>58</v>
      </c>
    </row>
    <row r="30" spans="1:10" x14ac:dyDescent="0.25">
      <c r="A30" t="s">
        <v>59</v>
      </c>
    </row>
    <row r="31" spans="1:10" x14ac:dyDescent="0.25">
      <c r="A31" t="s">
        <v>60</v>
      </c>
    </row>
    <row r="32" spans="1:10" x14ac:dyDescent="0.25">
      <c r="A32" t="s">
        <v>61</v>
      </c>
    </row>
    <row r="33" spans="1:1" x14ac:dyDescent="0.25">
      <c r="A33" t="s">
        <v>62</v>
      </c>
    </row>
    <row r="34" spans="1:1" x14ac:dyDescent="0.25">
      <c r="A34" t="s">
        <v>63</v>
      </c>
    </row>
    <row r="35" spans="1:1" x14ac:dyDescent="0.25">
      <c r="A35" t="s">
        <v>64</v>
      </c>
    </row>
    <row r="36" spans="1:1" x14ac:dyDescent="0.25">
      <c r="A36" t="s">
        <v>65</v>
      </c>
    </row>
    <row r="37" spans="1:1" x14ac:dyDescent="0.25">
      <c r="A37" t="s">
        <v>66</v>
      </c>
    </row>
    <row r="38" spans="1:1" x14ac:dyDescent="0.25">
      <c r="A38" t="s">
        <v>67</v>
      </c>
    </row>
    <row r="39" spans="1:1" x14ac:dyDescent="0.25">
      <c r="A39" t="s">
        <v>68</v>
      </c>
    </row>
    <row r="40" spans="1:1" x14ac:dyDescent="0.25">
      <c r="A40" t="s">
        <v>69</v>
      </c>
    </row>
    <row r="41" spans="1:1" x14ac:dyDescent="0.25">
      <c r="A41" t="s">
        <v>70</v>
      </c>
    </row>
    <row r="42" spans="1:1" x14ac:dyDescent="0.25">
      <c r="A42" t="s">
        <v>71</v>
      </c>
    </row>
    <row r="43" spans="1:1" x14ac:dyDescent="0.25">
      <c r="A43" t="s">
        <v>72</v>
      </c>
    </row>
    <row r="44" spans="1:1" x14ac:dyDescent="0.25">
      <c r="A44" t="s">
        <v>73</v>
      </c>
    </row>
    <row r="45" spans="1:1" x14ac:dyDescent="0.25">
      <c r="A45" t="s">
        <v>74</v>
      </c>
    </row>
    <row r="46" spans="1:1" x14ac:dyDescent="0.25">
      <c r="A46" t="s">
        <v>75</v>
      </c>
    </row>
    <row r="47" spans="1:1" x14ac:dyDescent="0.25">
      <c r="A47" t="s">
        <v>76</v>
      </c>
    </row>
    <row r="48" spans="1:1" x14ac:dyDescent="0.25">
      <c r="A48" t="s">
        <v>77</v>
      </c>
    </row>
    <row r="49" spans="1:1" x14ac:dyDescent="0.25">
      <c r="A49" t="s">
        <v>78</v>
      </c>
    </row>
    <row r="50" spans="1:1" x14ac:dyDescent="0.25">
      <c r="A50" t="s">
        <v>79</v>
      </c>
    </row>
    <row r="51" spans="1:1" x14ac:dyDescent="0.25">
      <c r="A51" t="s">
        <v>80</v>
      </c>
    </row>
    <row r="52" spans="1:1" x14ac:dyDescent="0.25">
      <c r="A52" t="s">
        <v>81</v>
      </c>
    </row>
    <row r="53" spans="1:1" x14ac:dyDescent="0.25">
      <c r="A53" t="s">
        <v>82</v>
      </c>
    </row>
    <row r="54" spans="1:1" x14ac:dyDescent="0.25">
      <c r="A54" t="s">
        <v>83</v>
      </c>
    </row>
    <row r="55" spans="1:1" x14ac:dyDescent="0.25">
      <c r="A55" t="s">
        <v>84</v>
      </c>
    </row>
    <row r="56" spans="1:1" x14ac:dyDescent="0.25">
      <c r="A56" t="s">
        <v>327</v>
      </c>
    </row>
    <row r="57" spans="1:1" x14ac:dyDescent="0.25">
      <c r="A57" t="s">
        <v>85</v>
      </c>
    </row>
    <row r="58" spans="1:1" x14ac:dyDescent="0.25">
      <c r="A58" t="s">
        <v>86</v>
      </c>
    </row>
    <row r="59" spans="1:1" x14ac:dyDescent="0.25">
      <c r="A59" t="s">
        <v>87</v>
      </c>
    </row>
    <row r="60" spans="1:1" x14ac:dyDescent="0.25">
      <c r="A60" t="s">
        <v>88</v>
      </c>
    </row>
    <row r="61" spans="1:1" x14ac:dyDescent="0.25">
      <c r="A61" t="s">
        <v>89</v>
      </c>
    </row>
    <row r="62" spans="1:1" x14ac:dyDescent="0.25">
      <c r="A62" t="s">
        <v>90</v>
      </c>
    </row>
    <row r="63" spans="1:1" x14ac:dyDescent="0.25">
      <c r="A63" t="s">
        <v>91</v>
      </c>
    </row>
    <row r="64" spans="1:1" x14ac:dyDescent="0.25">
      <c r="A64" t="s">
        <v>92</v>
      </c>
    </row>
    <row r="65" spans="1:1" x14ac:dyDescent="0.25">
      <c r="A65" t="s">
        <v>93</v>
      </c>
    </row>
    <row r="66" spans="1:1" x14ac:dyDescent="0.25">
      <c r="A66" t="s">
        <v>94</v>
      </c>
    </row>
    <row r="67" spans="1:1" x14ac:dyDescent="0.25">
      <c r="A67" t="s">
        <v>95</v>
      </c>
    </row>
    <row r="68" spans="1:1" x14ac:dyDescent="0.25">
      <c r="A68" t="s">
        <v>96</v>
      </c>
    </row>
    <row r="69" spans="1:1" x14ac:dyDescent="0.25">
      <c r="A69" t="s">
        <v>97</v>
      </c>
    </row>
    <row r="70" spans="1:1" x14ac:dyDescent="0.25">
      <c r="A70" t="s">
        <v>98</v>
      </c>
    </row>
    <row r="71" spans="1:1" x14ac:dyDescent="0.25">
      <c r="A71" t="s">
        <v>99</v>
      </c>
    </row>
    <row r="72" spans="1:1" x14ac:dyDescent="0.25">
      <c r="A72" t="s">
        <v>100</v>
      </c>
    </row>
    <row r="73" spans="1:1" x14ac:dyDescent="0.25">
      <c r="A73" t="s">
        <v>101</v>
      </c>
    </row>
    <row r="74" spans="1:1" x14ac:dyDescent="0.25">
      <c r="A74" t="s">
        <v>328</v>
      </c>
    </row>
    <row r="75" spans="1:1" x14ac:dyDescent="0.25">
      <c r="A75" t="s">
        <v>102</v>
      </c>
    </row>
    <row r="76" spans="1:1" x14ac:dyDescent="0.25">
      <c r="A76" t="s">
        <v>103</v>
      </c>
    </row>
    <row r="77" spans="1:1" x14ac:dyDescent="0.25">
      <c r="A77" t="s">
        <v>104</v>
      </c>
    </row>
    <row r="78" spans="1:1" x14ac:dyDescent="0.25">
      <c r="A78" t="s">
        <v>105</v>
      </c>
    </row>
    <row r="79" spans="1:1" x14ac:dyDescent="0.25">
      <c r="A79" t="s">
        <v>106</v>
      </c>
    </row>
    <row r="80" spans="1:1" x14ac:dyDescent="0.25">
      <c r="A80" t="s">
        <v>107</v>
      </c>
    </row>
    <row r="81" spans="1:1" x14ac:dyDescent="0.25">
      <c r="A81" t="s">
        <v>108</v>
      </c>
    </row>
    <row r="82" spans="1:1" x14ac:dyDescent="0.25">
      <c r="A82" t="s">
        <v>109</v>
      </c>
    </row>
    <row r="83" spans="1:1" x14ac:dyDescent="0.25">
      <c r="A83" t="s">
        <v>110</v>
      </c>
    </row>
    <row r="84" spans="1:1" x14ac:dyDescent="0.25">
      <c r="A84" t="s">
        <v>111</v>
      </c>
    </row>
    <row r="85" spans="1:1" x14ac:dyDescent="0.25">
      <c r="A85" t="s">
        <v>112</v>
      </c>
    </row>
    <row r="86" spans="1:1" x14ac:dyDescent="0.25">
      <c r="A86" t="s">
        <v>113</v>
      </c>
    </row>
    <row r="87" spans="1:1" x14ac:dyDescent="0.25">
      <c r="A87" t="s">
        <v>114</v>
      </c>
    </row>
    <row r="88" spans="1:1" x14ac:dyDescent="0.25">
      <c r="A88" t="s">
        <v>115</v>
      </c>
    </row>
    <row r="89" spans="1:1" x14ac:dyDescent="0.25">
      <c r="A89" t="s">
        <v>116</v>
      </c>
    </row>
    <row r="90" spans="1:1" x14ac:dyDescent="0.25">
      <c r="A90" t="s">
        <v>117</v>
      </c>
    </row>
    <row r="91" spans="1:1" x14ac:dyDescent="0.25">
      <c r="A91" t="s">
        <v>118</v>
      </c>
    </row>
    <row r="92" spans="1:1" x14ac:dyDescent="0.25">
      <c r="A92" t="s">
        <v>119</v>
      </c>
    </row>
    <row r="93" spans="1:1" x14ac:dyDescent="0.25">
      <c r="A93" t="s">
        <v>120</v>
      </c>
    </row>
    <row r="94" spans="1:1" x14ac:dyDescent="0.25">
      <c r="A94" t="s">
        <v>121</v>
      </c>
    </row>
    <row r="95" spans="1:1" x14ac:dyDescent="0.25">
      <c r="A95" t="s">
        <v>122</v>
      </c>
    </row>
    <row r="96" spans="1:1" x14ac:dyDescent="0.25">
      <c r="A96" t="s">
        <v>123</v>
      </c>
    </row>
    <row r="97" spans="1:1" x14ac:dyDescent="0.25">
      <c r="A97" t="s">
        <v>124</v>
      </c>
    </row>
    <row r="98" spans="1:1" x14ac:dyDescent="0.25">
      <c r="A98" t="s">
        <v>125</v>
      </c>
    </row>
    <row r="99" spans="1:1" x14ac:dyDescent="0.25">
      <c r="A99" t="s">
        <v>126</v>
      </c>
    </row>
    <row r="100" spans="1:1" x14ac:dyDescent="0.25">
      <c r="A100" t="s">
        <v>127</v>
      </c>
    </row>
    <row r="101" spans="1:1" x14ac:dyDescent="0.25">
      <c r="A101" t="s">
        <v>128</v>
      </c>
    </row>
    <row r="102" spans="1:1" x14ac:dyDescent="0.25">
      <c r="A102" t="s">
        <v>129</v>
      </c>
    </row>
    <row r="103" spans="1:1" x14ac:dyDescent="0.25">
      <c r="A103" t="s">
        <v>130</v>
      </c>
    </row>
    <row r="104" spans="1:1" x14ac:dyDescent="0.25">
      <c r="A104" t="s">
        <v>131</v>
      </c>
    </row>
    <row r="105" spans="1:1" x14ac:dyDescent="0.25">
      <c r="A105" t="s">
        <v>33</v>
      </c>
    </row>
    <row r="106" spans="1:1" x14ac:dyDescent="0.25">
      <c r="A106" t="s">
        <v>132</v>
      </c>
    </row>
    <row r="107" spans="1:1" x14ac:dyDescent="0.25">
      <c r="A107" t="s">
        <v>133</v>
      </c>
    </row>
    <row r="108" spans="1:1" x14ac:dyDescent="0.25">
      <c r="A108" t="s">
        <v>134</v>
      </c>
    </row>
    <row r="109" spans="1:1" x14ac:dyDescent="0.25">
      <c r="A109" t="s">
        <v>135</v>
      </c>
    </row>
    <row r="110" spans="1:1" x14ac:dyDescent="0.25">
      <c r="A110" t="s">
        <v>136</v>
      </c>
    </row>
    <row r="111" spans="1:1" x14ac:dyDescent="0.25">
      <c r="A111" t="s">
        <v>137</v>
      </c>
    </row>
    <row r="112" spans="1:1" x14ac:dyDescent="0.25">
      <c r="A112" t="s">
        <v>138</v>
      </c>
    </row>
    <row r="113" spans="1:1" x14ac:dyDescent="0.25">
      <c r="A113" t="s">
        <v>139</v>
      </c>
    </row>
    <row r="114" spans="1:1" x14ac:dyDescent="0.25">
      <c r="A114" t="s">
        <v>140</v>
      </c>
    </row>
    <row r="115" spans="1:1" x14ac:dyDescent="0.25">
      <c r="A115" t="s">
        <v>141</v>
      </c>
    </row>
    <row r="116" spans="1:1" x14ac:dyDescent="0.25">
      <c r="A116" t="s">
        <v>256</v>
      </c>
    </row>
    <row r="117" spans="1:1" x14ac:dyDescent="0.25">
      <c r="A117" t="s">
        <v>142</v>
      </c>
    </row>
    <row r="118" spans="1:1" x14ac:dyDescent="0.25">
      <c r="A118" t="s">
        <v>143</v>
      </c>
    </row>
    <row r="119" spans="1:1" x14ac:dyDescent="0.25">
      <c r="A119" t="s">
        <v>144</v>
      </c>
    </row>
    <row r="120" spans="1:1" x14ac:dyDescent="0.25">
      <c r="A120" t="s">
        <v>145</v>
      </c>
    </row>
    <row r="121" spans="1:1" x14ac:dyDescent="0.25">
      <c r="A121" t="s">
        <v>146</v>
      </c>
    </row>
    <row r="122" spans="1:1" x14ac:dyDescent="0.25">
      <c r="A122" t="s">
        <v>147</v>
      </c>
    </row>
    <row r="123" spans="1:1" x14ac:dyDescent="0.25">
      <c r="A123" t="s">
        <v>148</v>
      </c>
    </row>
    <row r="124" spans="1:1" x14ac:dyDescent="0.25">
      <c r="A124" t="s">
        <v>149</v>
      </c>
    </row>
    <row r="125" spans="1:1" x14ac:dyDescent="0.25">
      <c r="A125" t="s">
        <v>150</v>
      </c>
    </row>
    <row r="126" spans="1:1" x14ac:dyDescent="0.25">
      <c r="A126" t="s">
        <v>151</v>
      </c>
    </row>
    <row r="127" spans="1:1" x14ac:dyDescent="0.25">
      <c r="A127" t="s">
        <v>152</v>
      </c>
    </row>
    <row r="128" spans="1:1" x14ac:dyDescent="0.25">
      <c r="A128" t="s">
        <v>153</v>
      </c>
    </row>
    <row r="129" spans="1:1" x14ac:dyDescent="0.25">
      <c r="A129" t="s">
        <v>154</v>
      </c>
    </row>
    <row r="130" spans="1:1" x14ac:dyDescent="0.25">
      <c r="A130" t="s">
        <v>155</v>
      </c>
    </row>
    <row r="131" spans="1:1" x14ac:dyDescent="0.25">
      <c r="A131" t="s">
        <v>156</v>
      </c>
    </row>
    <row r="132" spans="1:1" x14ac:dyDescent="0.25">
      <c r="A132" t="s">
        <v>157</v>
      </c>
    </row>
    <row r="133" spans="1:1" x14ac:dyDescent="0.25">
      <c r="A133" t="s">
        <v>158</v>
      </c>
    </row>
    <row r="134" spans="1:1" x14ac:dyDescent="0.25">
      <c r="A134" t="s">
        <v>159</v>
      </c>
    </row>
    <row r="135" spans="1:1" x14ac:dyDescent="0.25">
      <c r="A135" t="s">
        <v>160</v>
      </c>
    </row>
    <row r="136" spans="1:1" x14ac:dyDescent="0.25">
      <c r="A136" t="s">
        <v>161</v>
      </c>
    </row>
    <row r="137" spans="1:1" x14ac:dyDescent="0.25">
      <c r="A137" t="s">
        <v>162</v>
      </c>
    </row>
    <row r="138" spans="1:1" x14ac:dyDescent="0.25">
      <c r="A138" t="s">
        <v>163</v>
      </c>
    </row>
    <row r="139" spans="1:1" x14ac:dyDescent="0.25">
      <c r="A139" t="s">
        <v>164</v>
      </c>
    </row>
    <row r="140" spans="1:1" x14ac:dyDescent="0.25">
      <c r="A140" t="s">
        <v>165</v>
      </c>
    </row>
    <row r="141" spans="1:1" x14ac:dyDescent="0.25">
      <c r="A141" t="s">
        <v>166</v>
      </c>
    </row>
    <row r="142" spans="1:1" x14ac:dyDescent="0.25">
      <c r="A142" t="s">
        <v>167</v>
      </c>
    </row>
    <row r="143" spans="1:1" x14ac:dyDescent="0.25">
      <c r="A143" t="s">
        <v>168</v>
      </c>
    </row>
    <row r="144" spans="1:1" x14ac:dyDescent="0.25">
      <c r="A144" t="s">
        <v>169</v>
      </c>
    </row>
    <row r="145" spans="1:1" x14ac:dyDescent="0.25">
      <c r="A145" t="s">
        <v>170</v>
      </c>
    </row>
    <row r="146" spans="1:1" x14ac:dyDescent="0.25">
      <c r="A146" t="s">
        <v>171</v>
      </c>
    </row>
    <row r="147" spans="1:1" x14ac:dyDescent="0.25">
      <c r="A147" t="s">
        <v>172</v>
      </c>
    </row>
    <row r="148" spans="1:1" x14ac:dyDescent="0.25">
      <c r="A148" t="s">
        <v>173</v>
      </c>
    </row>
    <row r="149" spans="1:1" x14ac:dyDescent="0.25">
      <c r="A149" t="s">
        <v>174</v>
      </c>
    </row>
    <row r="150" spans="1:1" x14ac:dyDescent="0.25">
      <c r="A150" t="s">
        <v>175</v>
      </c>
    </row>
    <row r="151" spans="1:1" x14ac:dyDescent="0.25">
      <c r="A151" t="s">
        <v>317</v>
      </c>
    </row>
    <row r="152" spans="1:1" x14ac:dyDescent="0.25">
      <c r="A152" t="s">
        <v>176</v>
      </c>
    </row>
    <row r="153" spans="1:1" x14ac:dyDescent="0.25">
      <c r="A153" t="s">
        <v>177</v>
      </c>
    </row>
    <row r="154" spans="1:1" x14ac:dyDescent="0.25">
      <c r="A154" t="s">
        <v>178</v>
      </c>
    </row>
    <row r="155" spans="1:1" x14ac:dyDescent="0.25">
      <c r="A155" t="s">
        <v>179</v>
      </c>
    </row>
    <row r="156" spans="1:1" x14ac:dyDescent="0.25">
      <c r="A156" t="s">
        <v>180</v>
      </c>
    </row>
    <row r="157" spans="1:1" x14ac:dyDescent="0.25">
      <c r="A157" t="s">
        <v>181</v>
      </c>
    </row>
    <row r="158" spans="1:1" x14ac:dyDescent="0.25">
      <c r="A158" t="s">
        <v>182</v>
      </c>
    </row>
    <row r="159" spans="1:1" x14ac:dyDescent="0.25">
      <c r="A159" t="s">
        <v>183</v>
      </c>
    </row>
    <row r="160" spans="1:1" x14ac:dyDescent="0.25">
      <c r="A160" t="s">
        <v>325</v>
      </c>
    </row>
    <row r="161" spans="1:1" x14ac:dyDescent="0.25">
      <c r="A161" t="s">
        <v>184</v>
      </c>
    </row>
    <row r="162" spans="1:1" x14ac:dyDescent="0.25">
      <c r="A162" t="s">
        <v>257</v>
      </c>
    </row>
    <row r="163" spans="1:1" x14ac:dyDescent="0.25">
      <c r="A163" t="s">
        <v>185</v>
      </c>
    </row>
    <row r="164" spans="1:1" x14ac:dyDescent="0.25">
      <c r="A164" t="s">
        <v>186</v>
      </c>
    </row>
    <row r="165" spans="1:1" x14ac:dyDescent="0.25">
      <c r="A165" t="s">
        <v>187</v>
      </c>
    </row>
    <row r="166" spans="1:1" x14ac:dyDescent="0.25">
      <c r="A166" t="s">
        <v>188</v>
      </c>
    </row>
    <row r="167" spans="1:1" x14ac:dyDescent="0.25">
      <c r="A167" t="s">
        <v>189</v>
      </c>
    </row>
    <row r="168" spans="1:1" x14ac:dyDescent="0.25">
      <c r="A168" t="s">
        <v>190</v>
      </c>
    </row>
    <row r="169" spans="1:1" x14ac:dyDescent="0.25">
      <c r="A169" t="s">
        <v>191</v>
      </c>
    </row>
    <row r="170" spans="1:1" x14ac:dyDescent="0.25">
      <c r="A170" t="s">
        <v>192</v>
      </c>
    </row>
    <row r="171" spans="1:1" x14ac:dyDescent="0.25">
      <c r="A171" t="s">
        <v>193</v>
      </c>
    </row>
    <row r="172" spans="1:1" x14ac:dyDescent="0.25">
      <c r="A172" t="s">
        <v>194</v>
      </c>
    </row>
    <row r="173" spans="1:1" x14ac:dyDescent="0.25">
      <c r="A173" t="s">
        <v>195</v>
      </c>
    </row>
    <row r="174" spans="1:1" x14ac:dyDescent="0.25">
      <c r="A174" t="s">
        <v>196</v>
      </c>
    </row>
    <row r="175" spans="1:1" x14ac:dyDescent="0.25">
      <c r="A175" t="s">
        <v>197</v>
      </c>
    </row>
    <row r="176" spans="1:1" x14ac:dyDescent="0.25">
      <c r="A176" t="s">
        <v>198</v>
      </c>
    </row>
    <row r="177" spans="1:1" x14ac:dyDescent="0.25">
      <c r="A177" t="s">
        <v>199</v>
      </c>
    </row>
    <row r="178" spans="1:1" x14ac:dyDescent="0.25">
      <c r="A178" t="s">
        <v>200</v>
      </c>
    </row>
    <row r="179" spans="1:1" x14ac:dyDescent="0.25">
      <c r="A179" t="s">
        <v>201</v>
      </c>
    </row>
    <row r="180" spans="1:1" x14ac:dyDescent="0.25">
      <c r="A180" t="s">
        <v>202</v>
      </c>
    </row>
    <row r="181" spans="1:1" x14ac:dyDescent="0.25">
      <c r="A181" t="s">
        <v>203</v>
      </c>
    </row>
    <row r="182" spans="1:1" x14ac:dyDescent="0.25">
      <c r="A182" t="s">
        <v>326</v>
      </c>
    </row>
    <row r="183" spans="1:1" x14ac:dyDescent="0.25">
      <c r="A183" t="s">
        <v>204</v>
      </c>
    </row>
    <row r="184" spans="1:1" x14ac:dyDescent="0.25">
      <c r="A184" t="s">
        <v>205</v>
      </c>
    </row>
    <row r="185" spans="1:1" x14ac:dyDescent="0.25">
      <c r="A185" t="s">
        <v>206</v>
      </c>
    </row>
    <row r="186" spans="1:1" x14ac:dyDescent="0.25">
      <c r="A186" t="s">
        <v>207</v>
      </c>
    </row>
    <row r="187" spans="1:1" x14ac:dyDescent="0.25">
      <c r="A187" t="s">
        <v>208</v>
      </c>
    </row>
    <row r="188" spans="1:1" x14ac:dyDescent="0.25">
      <c r="A188" t="s">
        <v>209</v>
      </c>
    </row>
  </sheetData>
  <mergeCells count="5">
    <mergeCell ref="I6:J6"/>
    <mergeCell ref="D1:E1"/>
    <mergeCell ref="H1:J1"/>
    <mergeCell ref="I3:J3"/>
    <mergeCell ref="I4:J4"/>
  </mergeCells>
  <dataValidations count="3">
    <dataValidation type="list" allowBlank="1" showInputMessage="1" showErrorMessage="1" sqref="E2" xr:uid="{B3EFB271-F1C5-4D9F-95A2-F5D934F0CA7A}">
      <formula1>"NFO-OPT,BFO-OPT,CDS-OPT,MCX-OPT"</formula1>
    </dataValidation>
    <dataValidation type="list" allowBlank="1" showInputMessage="1" showErrorMessage="1" sqref="E7" xr:uid="{5E29F37C-EBA0-4DFB-8146-53A0A114BEE6}">
      <formula1>"MONTHLY,WEEKLY"</formula1>
    </dataValidation>
    <dataValidation type="list" allowBlank="1" showInputMessage="1" showErrorMessage="1" sqref="E8" xr:uid="{A03AFBC7-0B58-4927-84C9-5DDEC3AE4CCF}">
      <formula1>"NSE,SENSIBULL"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E500"/>
  <sheetViews>
    <sheetView topLeftCell="F1" workbookViewId="0">
      <pane ySplit="2" topLeftCell="A3" activePane="bottomLeft" state="frozen"/>
      <selection pane="bottomLeft" activeCell="J165" sqref="J165"/>
    </sheetView>
  </sheetViews>
  <sheetFormatPr defaultRowHeight="15" x14ac:dyDescent="0.25"/>
  <sheetData>
    <row r="1" spans="1:31" ht="30.75" thickBot="1" x14ac:dyDescent="0.3">
      <c r="A1" s="74" t="s">
        <v>245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30" t="s">
        <v>258</v>
      </c>
      <c r="Q1" s="74" t="s">
        <v>246</v>
      </c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</row>
    <row r="2" spans="1:31" x14ac:dyDescent="0.25">
      <c r="A2" s="29" t="s">
        <v>247</v>
      </c>
      <c r="B2" s="29" t="s">
        <v>259</v>
      </c>
      <c r="C2" s="29" t="s">
        <v>260</v>
      </c>
      <c r="D2" s="29" t="s">
        <v>261</v>
      </c>
      <c r="E2" s="29" t="s">
        <v>262</v>
      </c>
      <c r="F2" s="29" t="s">
        <v>47</v>
      </c>
      <c r="G2" s="26" t="s">
        <v>248</v>
      </c>
      <c r="H2" s="26" t="s">
        <v>249</v>
      </c>
      <c r="I2" s="26" t="s">
        <v>250</v>
      </c>
      <c r="J2" s="26" t="s">
        <v>14</v>
      </c>
      <c r="K2" s="26" t="s">
        <v>251</v>
      </c>
      <c r="L2" s="26" t="s">
        <v>252</v>
      </c>
      <c r="M2" s="26" t="s">
        <v>253</v>
      </c>
      <c r="N2" s="26" t="s">
        <v>254</v>
      </c>
      <c r="O2" s="26" t="s">
        <v>255</v>
      </c>
      <c r="P2" s="26" t="s">
        <v>263</v>
      </c>
      <c r="Q2" s="26" t="s">
        <v>252</v>
      </c>
      <c r="R2" s="26" t="s">
        <v>253</v>
      </c>
      <c r="S2" s="26" t="s">
        <v>254</v>
      </c>
      <c r="T2" s="26" t="s">
        <v>255</v>
      </c>
      <c r="U2" s="26" t="s">
        <v>251</v>
      </c>
      <c r="V2" s="26" t="s">
        <v>14</v>
      </c>
      <c r="W2" s="26" t="s">
        <v>250</v>
      </c>
      <c r="X2" s="26" t="s">
        <v>249</v>
      </c>
      <c r="Y2" s="31" t="s">
        <v>248</v>
      </c>
      <c r="Z2" s="32" t="s">
        <v>47</v>
      </c>
      <c r="AA2" s="32" t="s">
        <v>262</v>
      </c>
      <c r="AB2" s="32" t="s">
        <v>261</v>
      </c>
      <c r="AC2" s="32" t="s">
        <v>260</v>
      </c>
      <c r="AD2" s="32" t="s">
        <v>259</v>
      </c>
      <c r="AE2" s="29" t="s">
        <v>247</v>
      </c>
    </row>
    <row r="3" spans="1:31" x14ac:dyDescent="0.25">
      <c r="A3" s="33">
        <v>0.99</v>
      </c>
      <c r="B3" s="33">
        <v>0</v>
      </c>
      <c r="C3" s="33">
        <v>-13.3</v>
      </c>
      <c r="D3" s="33">
        <v>0.21</v>
      </c>
      <c r="E3" s="33">
        <v>3.3000000000000002E-2</v>
      </c>
      <c r="F3" s="33">
        <v>0</v>
      </c>
      <c r="G3" s="33">
        <v>0</v>
      </c>
      <c r="H3" s="33">
        <v>0</v>
      </c>
      <c r="I3" s="33">
        <v>30.9</v>
      </c>
      <c r="J3" s="33">
        <v>0</v>
      </c>
      <c r="K3" s="33" t="s">
        <v>22</v>
      </c>
      <c r="L3" s="33" t="s">
        <v>22</v>
      </c>
      <c r="M3" s="33">
        <v>935.4</v>
      </c>
      <c r="N3" s="33">
        <v>975.25</v>
      </c>
      <c r="O3" s="33" t="s">
        <v>22</v>
      </c>
      <c r="P3" s="34">
        <v>48200</v>
      </c>
      <c r="Q3" s="33" t="s">
        <v>22</v>
      </c>
      <c r="R3" s="33">
        <v>0.75</v>
      </c>
      <c r="S3" s="33">
        <v>0.8</v>
      </c>
      <c r="T3" s="33" t="s">
        <v>22</v>
      </c>
      <c r="U3" s="33">
        <v>-67.39</v>
      </c>
      <c r="V3" s="33">
        <v>0.75</v>
      </c>
      <c r="W3" s="33">
        <v>30.9</v>
      </c>
      <c r="X3" s="33">
        <v>4925</v>
      </c>
      <c r="Y3" s="33">
        <v>2786</v>
      </c>
      <c r="Z3" s="33">
        <v>2786</v>
      </c>
      <c r="AA3" s="33">
        <v>0</v>
      </c>
      <c r="AB3" s="33">
        <v>0.21</v>
      </c>
      <c r="AC3" s="33">
        <v>-13.3</v>
      </c>
      <c r="AD3" s="33">
        <v>0</v>
      </c>
      <c r="AE3" s="33">
        <v>-0.01</v>
      </c>
    </row>
    <row r="4" spans="1:31" x14ac:dyDescent="0.25">
      <c r="A4" s="33">
        <v>0.99</v>
      </c>
      <c r="B4" s="33">
        <v>1E-4</v>
      </c>
      <c r="C4" s="33">
        <v>-13.77</v>
      </c>
      <c r="D4" s="33">
        <v>0.24</v>
      </c>
      <c r="E4" s="33">
        <v>3.3000000000000002E-2</v>
      </c>
      <c r="F4" s="33">
        <v>0</v>
      </c>
      <c r="G4" s="33">
        <v>0</v>
      </c>
      <c r="H4" s="33">
        <v>0</v>
      </c>
      <c r="I4" s="33">
        <v>28.29</v>
      </c>
      <c r="J4" s="33">
        <v>0</v>
      </c>
      <c r="K4" s="33" t="s">
        <v>22</v>
      </c>
      <c r="L4" s="33" t="s">
        <v>22</v>
      </c>
      <c r="M4" s="33">
        <v>835.55</v>
      </c>
      <c r="N4" s="33">
        <v>875.35</v>
      </c>
      <c r="O4" s="33" t="s">
        <v>22</v>
      </c>
      <c r="P4" s="34">
        <v>48300</v>
      </c>
      <c r="Q4" s="33" t="s">
        <v>22</v>
      </c>
      <c r="R4" s="33">
        <v>0.8</v>
      </c>
      <c r="S4" s="33">
        <v>0.9</v>
      </c>
      <c r="T4" s="33" t="s">
        <v>22</v>
      </c>
      <c r="U4" s="33">
        <v>-73.33</v>
      </c>
      <c r="V4" s="33">
        <v>0.8</v>
      </c>
      <c r="W4" s="33">
        <v>28.29</v>
      </c>
      <c r="X4" s="33">
        <v>4436</v>
      </c>
      <c r="Y4" s="33">
        <v>1563</v>
      </c>
      <c r="Z4" s="33">
        <v>1563</v>
      </c>
      <c r="AA4" s="33">
        <v>0</v>
      </c>
      <c r="AB4" s="33">
        <v>0.24</v>
      </c>
      <c r="AC4" s="33">
        <v>-13.77</v>
      </c>
      <c r="AD4" s="33">
        <v>1E-4</v>
      </c>
      <c r="AE4" s="33">
        <v>-0.01</v>
      </c>
    </row>
    <row r="5" spans="1:31" x14ac:dyDescent="0.25">
      <c r="A5" s="33">
        <v>0.99</v>
      </c>
      <c r="B5" s="33">
        <v>1E-4</v>
      </c>
      <c r="C5" s="33">
        <v>-21.28</v>
      </c>
      <c r="D5" s="33">
        <v>0.39</v>
      </c>
      <c r="E5" s="33">
        <v>3.3000000000000002E-2</v>
      </c>
      <c r="F5" s="33">
        <v>0</v>
      </c>
      <c r="G5" s="33">
        <v>0</v>
      </c>
      <c r="H5" s="33">
        <v>0</v>
      </c>
      <c r="I5" s="33">
        <v>27.27</v>
      </c>
      <c r="J5" s="33">
        <v>0</v>
      </c>
      <c r="K5" s="33" t="s">
        <v>22</v>
      </c>
      <c r="L5" s="33" t="s">
        <v>22</v>
      </c>
      <c r="M5" s="33">
        <v>735.8</v>
      </c>
      <c r="N5" s="33">
        <v>775.75</v>
      </c>
      <c r="O5" s="33" t="s">
        <v>22</v>
      </c>
      <c r="P5" s="34">
        <v>48400</v>
      </c>
      <c r="Q5" s="33" t="s">
        <v>22</v>
      </c>
      <c r="R5" s="33">
        <v>1.25</v>
      </c>
      <c r="S5" s="33">
        <v>1.45</v>
      </c>
      <c r="T5" s="33" t="s">
        <v>22</v>
      </c>
      <c r="U5" s="33">
        <v>-64.099999999999994</v>
      </c>
      <c r="V5" s="33">
        <v>1.4</v>
      </c>
      <c r="W5" s="33">
        <v>27.27</v>
      </c>
      <c r="X5" s="33">
        <v>5167</v>
      </c>
      <c r="Y5" s="33">
        <v>2414</v>
      </c>
      <c r="Z5" s="33">
        <v>2414</v>
      </c>
      <c r="AA5" s="33">
        <v>0</v>
      </c>
      <c r="AB5" s="33">
        <v>0.39</v>
      </c>
      <c r="AC5" s="33">
        <v>-21.28</v>
      </c>
      <c r="AD5" s="33">
        <v>1E-4</v>
      </c>
      <c r="AE5" s="33">
        <v>-0.01</v>
      </c>
    </row>
    <row r="6" spans="1:31" x14ac:dyDescent="0.25">
      <c r="A6" s="33">
        <v>0.98</v>
      </c>
      <c r="B6" s="33">
        <v>1E-4</v>
      </c>
      <c r="C6" s="33">
        <v>-31.34</v>
      </c>
      <c r="D6" s="33">
        <v>0.6</v>
      </c>
      <c r="E6" s="33">
        <v>2.9000000000000001E-2</v>
      </c>
      <c r="F6" s="33">
        <v>15</v>
      </c>
      <c r="G6" s="33">
        <v>15</v>
      </c>
      <c r="H6" s="33">
        <v>65</v>
      </c>
      <c r="I6" s="33">
        <v>26.06</v>
      </c>
      <c r="J6" s="33">
        <v>722.4</v>
      </c>
      <c r="K6" s="33">
        <v>7.56</v>
      </c>
      <c r="L6" s="33" t="s">
        <v>22</v>
      </c>
      <c r="M6" s="33">
        <v>653.9</v>
      </c>
      <c r="N6" s="33">
        <v>667.15</v>
      </c>
      <c r="O6" s="33" t="s">
        <v>22</v>
      </c>
      <c r="P6" s="34">
        <v>48500</v>
      </c>
      <c r="Q6" s="33" t="s">
        <v>22</v>
      </c>
      <c r="R6" s="33">
        <v>2.2999999999999998</v>
      </c>
      <c r="S6" s="33">
        <v>2.35</v>
      </c>
      <c r="T6" s="33" t="s">
        <v>22</v>
      </c>
      <c r="U6" s="33">
        <v>-55.24</v>
      </c>
      <c r="V6" s="33">
        <v>2.35</v>
      </c>
      <c r="W6" s="33">
        <v>26.06</v>
      </c>
      <c r="X6" s="33">
        <v>7665</v>
      </c>
      <c r="Y6" s="33">
        <v>2798</v>
      </c>
      <c r="Z6" s="33">
        <v>2798</v>
      </c>
      <c r="AA6" s="33">
        <v>-1E-3</v>
      </c>
      <c r="AB6" s="33">
        <v>0.6</v>
      </c>
      <c r="AC6" s="33">
        <v>-31.34</v>
      </c>
      <c r="AD6" s="33">
        <v>1E-4</v>
      </c>
      <c r="AE6" s="33">
        <v>-0.02</v>
      </c>
    </row>
    <row r="7" spans="1:31" x14ac:dyDescent="0.25">
      <c r="A7" s="33">
        <v>0.97</v>
      </c>
      <c r="B7" s="33">
        <v>2.0000000000000001E-4</v>
      </c>
      <c r="C7" s="33">
        <v>-39.51</v>
      </c>
      <c r="D7" s="33">
        <v>0.82</v>
      </c>
      <c r="E7" s="33">
        <v>3.3000000000000002E-2</v>
      </c>
      <c r="F7" s="33">
        <v>22</v>
      </c>
      <c r="G7" s="33">
        <v>22</v>
      </c>
      <c r="H7" s="33">
        <v>151</v>
      </c>
      <c r="I7" s="33">
        <v>24.06</v>
      </c>
      <c r="J7" s="33">
        <v>552.35</v>
      </c>
      <c r="K7" s="33">
        <v>-3.56</v>
      </c>
      <c r="L7" s="33" t="s">
        <v>22</v>
      </c>
      <c r="M7" s="33">
        <v>554.85</v>
      </c>
      <c r="N7" s="33">
        <v>564.65</v>
      </c>
      <c r="O7" s="33" t="s">
        <v>22</v>
      </c>
      <c r="P7" s="34">
        <v>48600</v>
      </c>
      <c r="Q7" s="33" t="s">
        <v>22</v>
      </c>
      <c r="R7" s="33">
        <v>3.2</v>
      </c>
      <c r="S7" s="33">
        <v>3.35</v>
      </c>
      <c r="T7" s="33" t="s">
        <v>22</v>
      </c>
      <c r="U7" s="33">
        <v>-57.69</v>
      </c>
      <c r="V7" s="33">
        <v>3.3</v>
      </c>
      <c r="W7" s="33">
        <v>24.06</v>
      </c>
      <c r="X7" s="33">
        <v>10086</v>
      </c>
      <c r="Y7" s="33">
        <v>1523</v>
      </c>
      <c r="Z7" s="33">
        <v>1523</v>
      </c>
      <c r="AA7" s="33">
        <v>-1E-3</v>
      </c>
      <c r="AB7" s="33">
        <v>0.82</v>
      </c>
      <c r="AC7" s="33">
        <v>-39.51</v>
      </c>
      <c r="AD7" s="33">
        <v>2.0000000000000001E-4</v>
      </c>
      <c r="AE7" s="33">
        <v>-0.03</v>
      </c>
    </row>
    <row r="8" spans="1:31" x14ac:dyDescent="0.25">
      <c r="A8" s="33">
        <v>0.95</v>
      </c>
      <c r="B8" s="33">
        <v>2.9999999999999997E-4</v>
      </c>
      <c r="C8" s="33">
        <v>-56.22</v>
      </c>
      <c r="D8" s="33">
        <v>1.24</v>
      </c>
      <c r="E8" s="33">
        <v>3.3000000000000002E-2</v>
      </c>
      <c r="F8" s="33">
        <v>76</v>
      </c>
      <c r="G8" s="33">
        <v>76</v>
      </c>
      <c r="H8" s="33">
        <v>297</v>
      </c>
      <c r="I8" s="33">
        <v>22.66</v>
      </c>
      <c r="J8" s="33">
        <v>462</v>
      </c>
      <c r="K8" s="33">
        <v>-3.22</v>
      </c>
      <c r="L8" s="33" t="s">
        <v>22</v>
      </c>
      <c r="M8" s="33">
        <v>461</v>
      </c>
      <c r="N8" s="33">
        <v>464.65</v>
      </c>
      <c r="O8" s="33" t="s">
        <v>22</v>
      </c>
      <c r="P8" s="34">
        <v>48700</v>
      </c>
      <c r="Q8" s="33" t="s">
        <v>22</v>
      </c>
      <c r="R8" s="33">
        <v>5.5</v>
      </c>
      <c r="S8" s="33">
        <v>5.55</v>
      </c>
      <c r="T8" s="33" t="s">
        <v>22</v>
      </c>
      <c r="U8" s="33">
        <v>-53.94</v>
      </c>
      <c r="V8" s="33">
        <v>5.55</v>
      </c>
      <c r="W8" s="33">
        <v>22.66</v>
      </c>
      <c r="X8" s="33">
        <v>16230</v>
      </c>
      <c r="Y8" s="33">
        <v>4908</v>
      </c>
      <c r="Z8" s="33">
        <v>4908</v>
      </c>
      <c r="AA8" s="33">
        <v>-2E-3</v>
      </c>
      <c r="AB8" s="33">
        <v>1.24</v>
      </c>
      <c r="AC8" s="33">
        <v>-56.22</v>
      </c>
      <c r="AD8" s="33">
        <v>2.9999999999999997E-4</v>
      </c>
      <c r="AE8" s="33">
        <v>-0.05</v>
      </c>
    </row>
    <row r="9" spans="1:31" x14ac:dyDescent="0.25">
      <c r="A9" s="33">
        <v>0.92</v>
      </c>
      <c r="B9" s="33">
        <v>5.0000000000000001E-4</v>
      </c>
      <c r="C9" s="33">
        <v>-82.85</v>
      </c>
      <c r="D9" s="33">
        <v>1.92</v>
      </c>
      <c r="E9" s="33">
        <v>3.3000000000000002E-2</v>
      </c>
      <c r="F9" s="33">
        <v>84</v>
      </c>
      <c r="G9" s="33">
        <v>84</v>
      </c>
      <c r="H9" s="33">
        <v>384</v>
      </c>
      <c r="I9" s="33">
        <v>21.61</v>
      </c>
      <c r="J9" s="33">
        <v>367.7</v>
      </c>
      <c r="K9" s="33">
        <v>-4.42</v>
      </c>
      <c r="L9" s="33" t="s">
        <v>22</v>
      </c>
      <c r="M9" s="33">
        <v>365.75</v>
      </c>
      <c r="N9" s="33">
        <v>368.4</v>
      </c>
      <c r="O9" s="33" t="s">
        <v>22</v>
      </c>
      <c r="P9" s="34">
        <v>48800</v>
      </c>
      <c r="Q9" s="33" t="s">
        <v>22</v>
      </c>
      <c r="R9" s="33">
        <v>10.1</v>
      </c>
      <c r="S9" s="33">
        <v>10.199999999999999</v>
      </c>
      <c r="T9" s="33" t="s">
        <v>22</v>
      </c>
      <c r="U9" s="33">
        <v>-47.42</v>
      </c>
      <c r="V9" s="33">
        <v>10.199999999999999</v>
      </c>
      <c r="W9" s="33">
        <v>21.61</v>
      </c>
      <c r="X9" s="33">
        <v>20871</v>
      </c>
      <c r="Y9" s="33">
        <v>3781</v>
      </c>
      <c r="Z9" s="33">
        <v>3781</v>
      </c>
      <c r="AA9" s="33">
        <v>-3.0000000000000001E-3</v>
      </c>
      <c r="AB9" s="33">
        <v>1.92</v>
      </c>
      <c r="AC9" s="33">
        <v>-82.85</v>
      </c>
      <c r="AD9" s="33">
        <v>5.0000000000000001E-4</v>
      </c>
      <c r="AE9" s="33">
        <v>-0.08</v>
      </c>
    </row>
    <row r="10" spans="1:31" x14ac:dyDescent="0.25">
      <c r="A10" s="33">
        <v>0.86</v>
      </c>
      <c r="B10" s="33">
        <v>8.0000000000000004E-4</v>
      </c>
      <c r="C10" s="33">
        <v>-117.17</v>
      </c>
      <c r="D10" s="33">
        <v>2.85</v>
      </c>
      <c r="E10" s="33">
        <v>3.3000000000000002E-2</v>
      </c>
      <c r="F10" s="33">
        <v>233</v>
      </c>
      <c r="G10" s="33">
        <v>233</v>
      </c>
      <c r="H10" s="33">
        <v>663</v>
      </c>
      <c r="I10" s="33">
        <v>20.68</v>
      </c>
      <c r="J10" s="33">
        <v>275.5</v>
      </c>
      <c r="K10" s="33">
        <v>-7.77</v>
      </c>
      <c r="L10" s="33" t="s">
        <v>22</v>
      </c>
      <c r="M10" s="33">
        <v>275.5</v>
      </c>
      <c r="N10" s="33">
        <v>277</v>
      </c>
      <c r="O10" s="33" t="s">
        <v>22</v>
      </c>
      <c r="P10" s="34">
        <v>48900</v>
      </c>
      <c r="Q10" s="33" t="s">
        <v>22</v>
      </c>
      <c r="R10" s="33">
        <v>18.899999999999999</v>
      </c>
      <c r="S10" s="33">
        <v>19.100000000000001</v>
      </c>
      <c r="T10" s="33" t="s">
        <v>22</v>
      </c>
      <c r="U10" s="33">
        <v>-38.93</v>
      </c>
      <c r="V10" s="33">
        <v>18.899999999999999</v>
      </c>
      <c r="W10" s="33">
        <v>20.68</v>
      </c>
      <c r="X10" s="33">
        <v>27232</v>
      </c>
      <c r="Y10" s="33">
        <v>4804</v>
      </c>
      <c r="Z10" s="33">
        <v>4804</v>
      </c>
      <c r="AA10" s="33">
        <v>-5.0000000000000001E-3</v>
      </c>
      <c r="AB10" s="33">
        <v>2.85</v>
      </c>
      <c r="AC10" s="33">
        <v>-117.17</v>
      </c>
      <c r="AD10" s="33">
        <v>8.0000000000000004E-4</v>
      </c>
      <c r="AE10" s="33">
        <v>-0.14000000000000001</v>
      </c>
    </row>
    <row r="11" spans="1:31" x14ac:dyDescent="0.25">
      <c r="A11" s="33">
        <v>0.77</v>
      </c>
      <c r="B11" s="33">
        <v>1.1999999999999999E-3</v>
      </c>
      <c r="C11" s="33">
        <v>-151.86000000000001</v>
      </c>
      <c r="D11" s="33">
        <v>3.89</v>
      </c>
      <c r="E11" s="33">
        <v>0.03</v>
      </c>
      <c r="F11" s="33">
        <v>719</v>
      </c>
      <c r="G11" s="33">
        <v>719</v>
      </c>
      <c r="H11" s="33">
        <v>2763</v>
      </c>
      <c r="I11" s="33">
        <v>19.690000000000001</v>
      </c>
      <c r="J11" s="33">
        <v>191.25</v>
      </c>
      <c r="K11" s="33">
        <v>-12.65</v>
      </c>
      <c r="L11" s="33" t="s">
        <v>22</v>
      </c>
      <c r="M11" s="33">
        <v>189.45</v>
      </c>
      <c r="N11" s="33">
        <v>191.2</v>
      </c>
      <c r="O11" s="33" t="s">
        <v>22</v>
      </c>
      <c r="P11" s="34">
        <v>49000</v>
      </c>
      <c r="Q11" s="33" t="s">
        <v>22</v>
      </c>
      <c r="R11" s="33">
        <v>33.549999999999997</v>
      </c>
      <c r="S11" s="33">
        <v>34</v>
      </c>
      <c r="T11" s="33" t="s">
        <v>22</v>
      </c>
      <c r="U11" s="33">
        <v>-36.159999999999997</v>
      </c>
      <c r="V11" s="33">
        <v>33.9</v>
      </c>
      <c r="W11" s="33">
        <v>19.690000000000001</v>
      </c>
      <c r="X11" s="33">
        <v>32316</v>
      </c>
      <c r="Y11" s="33">
        <v>9008</v>
      </c>
      <c r="Z11" s="33">
        <v>9008</v>
      </c>
      <c r="AA11" s="33">
        <v>-8.0000000000000002E-3</v>
      </c>
      <c r="AB11" s="33">
        <v>3.89</v>
      </c>
      <c r="AC11" s="33">
        <v>-151.86000000000001</v>
      </c>
      <c r="AD11" s="33">
        <v>1.1999999999999999E-3</v>
      </c>
      <c r="AE11" s="33">
        <v>-0.23</v>
      </c>
    </row>
    <row r="12" spans="1:31" x14ac:dyDescent="0.25">
      <c r="A12" s="33">
        <v>0.64</v>
      </c>
      <c r="B12" s="33">
        <v>1.6000000000000001E-3</v>
      </c>
      <c r="C12" s="33">
        <v>-176.36</v>
      </c>
      <c r="D12" s="33">
        <v>4.79</v>
      </c>
      <c r="E12" s="33">
        <v>2.3E-2</v>
      </c>
      <c r="F12" s="33">
        <v>3825</v>
      </c>
      <c r="G12" s="33">
        <v>3825</v>
      </c>
      <c r="H12" s="33">
        <v>12556</v>
      </c>
      <c r="I12" s="33">
        <v>18.7</v>
      </c>
      <c r="J12" s="33">
        <v>115.4</v>
      </c>
      <c r="K12" s="33">
        <v>-23.53</v>
      </c>
      <c r="L12" s="33" t="s">
        <v>22</v>
      </c>
      <c r="M12" s="33">
        <v>114.6</v>
      </c>
      <c r="N12" s="33">
        <v>115.4</v>
      </c>
      <c r="O12" s="33" t="s">
        <v>22</v>
      </c>
      <c r="P12" s="34">
        <v>49100</v>
      </c>
      <c r="Q12" s="33" t="s">
        <v>22</v>
      </c>
      <c r="R12" s="33">
        <v>58.4</v>
      </c>
      <c r="S12" s="33">
        <v>58.95</v>
      </c>
      <c r="T12" s="33" t="s">
        <v>22</v>
      </c>
      <c r="U12" s="33">
        <v>-29</v>
      </c>
      <c r="V12" s="33">
        <v>59</v>
      </c>
      <c r="W12" s="33">
        <v>18.7</v>
      </c>
      <c r="X12" s="33">
        <v>24836</v>
      </c>
      <c r="Y12" s="33">
        <v>6032</v>
      </c>
      <c r="Z12" s="33">
        <v>6032</v>
      </c>
      <c r="AA12" s="33">
        <v>-1.2E-2</v>
      </c>
      <c r="AB12" s="33">
        <v>4.79</v>
      </c>
      <c r="AC12" s="33">
        <v>-176.36</v>
      </c>
      <c r="AD12" s="33">
        <v>1.6000000000000001E-3</v>
      </c>
      <c r="AE12" s="33">
        <v>-0.36</v>
      </c>
    </row>
    <row r="13" spans="1:31" x14ac:dyDescent="0.25">
      <c r="A13" s="34">
        <v>0.46</v>
      </c>
      <c r="B13" s="34">
        <v>2.3999999999999998E-3</v>
      </c>
      <c r="C13" s="34">
        <v>-123.9</v>
      </c>
      <c r="D13" s="34">
        <v>5.08</v>
      </c>
      <c r="E13" s="34">
        <v>1.4999999999999999E-2</v>
      </c>
      <c r="F13" s="34">
        <v>8797</v>
      </c>
      <c r="G13" s="34">
        <v>8797</v>
      </c>
      <c r="H13" s="34">
        <v>30386</v>
      </c>
      <c r="I13" s="34">
        <v>12.75</v>
      </c>
      <c r="J13" s="34">
        <v>57.75</v>
      </c>
      <c r="K13" s="34">
        <v>-40.03</v>
      </c>
      <c r="L13" s="34" t="s">
        <v>22</v>
      </c>
      <c r="M13" s="34">
        <v>56.95</v>
      </c>
      <c r="N13" s="34">
        <v>57.7</v>
      </c>
      <c r="O13" s="34" t="s">
        <v>22</v>
      </c>
      <c r="P13" s="34">
        <v>49200</v>
      </c>
      <c r="Q13" s="34" t="s">
        <v>22</v>
      </c>
      <c r="R13" s="34">
        <v>99.35</v>
      </c>
      <c r="S13" s="34">
        <v>100.35</v>
      </c>
      <c r="T13" s="34" t="s">
        <v>22</v>
      </c>
      <c r="U13" s="34">
        <v>-24.06</v>
      </c>
      <c r="V13" s="34">
        <v>99.75</v>
      </c>
      <c r="W13" s="34">
        <v>12.75</v>
      </c>
      <c r="X13" s="34">
        <v>20815</v>
      </c>
      <c r="Y13" s="34">
        <v>5819</v>
      </c>
      <c r="Z13" s="34">
        <v>5819</v>
      </c>
      <c r="AA13" s="34">
        <v>-1.7999999999999999E-2</v>
      </c>
      <c r="AB13" s="34">
        <v>5.08</v>
      </c>
      <c r="AC13" s="34">
        <v>-123.9</v>
      </c>
      <c r="AD13" s="34">
        <v>2.3999999999999998E-3</v>
      </c>
      <c r="AE13" s="34">
        <v>-0.54</v>
      </c>
    </row>
    <row r="14" spans="1:31" x14ac:dyDescent="0.25">
      <c r="A14" s="33">
        <v>0.26</v>
      </c>
      <c r="B14" s="33">
        <v>1.8E-3</v>
      </c>
      <c r="C14" s="33">
        <v>-110.89</v>
      </c>
      <c r="D14" s="33">
        <v>4.1900000000000004</v>
      </c>
      <c r="E14" s="33">
        <v>8.9999999999999993E-3</v>
      </c>
      <c r="F14" s="33">
        <v>6320</v>
      </c>
      <c r="G14" s="33">
        <v>6320</v>
      </c>
      <c r="H14" s="33">
        <v>25933</v>
      </c>
      <c r="I14" s="33">
        <v>14.26</v>
      </c>
      <c r="J14" s="33">
        <v>29.3</v>
      </c>
      <c r="K14" s="33">
        <v>-49.4</v>
      </c>
      <c r="L14" s="33" t="s">
        <v>22</v>
      </c>
      <c r="M14" s="33">
        <v>29.4</v>
      </c>
      <c r="N14" s="33">
        <v>29.95</v>
      </c>
      <c r="O14" s="33" t="s">
        <v>22</v>
      </c>
      <c r="P14" s="34">
        <v>49300</v>
      </c>
      <c r="Q14" s="33" t="s">
        <v>22</v>
      </c>
      <c r="R14" s="33">
        <v>172.8</v>
      </c>
      <c r="S14" s="33">
        <v>174.3</v>
      </c>
      <c r="T14" s="33" t="s">
        <v>22</v>
      </c>
      <c r="U14" s="33">
        <v>-10.8</v>
      </c>
      <c r="V14" s="33">
        <v>173</v>
      </c>
      <c r="W14" s="33">
        <v>14.26</v>
      </c>
      <c r="X14" s="33">
        <v>4062</v>
      </c>
      <c r="Y14" s="33">
        <v>744</v>
      </c>
      <c r="Z14" s="33">
        <v>744</v>
      </c>
      <c r="AA14" s="33">
        <v>-2.1999999999999999E-2</v>
      </c>
      <c r="AB14" s="33">
        <v>4.1900000000000004</v>
      </c>
      <c r="AC14" s="33">
        <v>-110.89</v>
      </c>
      <c r="AD14" s="33">
        <v>1.8E-3</v>
      </c>
      <c r="AE14" s="33">
        <v>-0.74</v>
      </c>
    </row>
    <row r="15" spans="1:31" x14ac:dyDescent="0.25">
      <c r="A15" s="33">
        <v>0.14000000000000001</v>
      </c>
      <c r="B15" s="33">
        <v>1.1000000000000001E-3</v>
      </c>
      <c r="C15" s="33">
        <v>-81.31</v>
      </c>
      <c r="D15" s="33">
        <v>2.91</v>
      </c>
      <c r="E15" s="33">
        <v>5.0000000000000001E-3</v>
      </c>
      <c r="F15" s="33">
        <v>3993</v>
      </c>
      <c r="G15" s="33">
        <v>3993</v>
      </c>
      <c r="H15" s="33">
        <v>25631</v>
      </c>
      <c r="I15" s="33">
        <v>15.79</v>
      </c>
      <c r="J15" s="33">
        <v>14.95</v>
      </c>
      <c r="K15" s="33">
        <v>-54.42</v>
      </c>
      <c r="L15" s="33" t="s">
        <v>22</v>
      </c>
      <c r="M15" s="33">
        <v>14.8</v>
      </c>
      <c r="N15" s="33">
        <v>14.95</v>
      </c>
      <c r="O15" s="33" t="s">
        <v>22</v>
      </c>
      <c r="P15" s="34">
        <v>49400</v>
      </c>
      <c r="Q15" s="33" t="s">
        <v>22</v>
      </c>
      <c r="R15" s="33">
        <v>256.95</v>
      </c>
      <c r="S15" s="33">
        <v>258.85000000000002</v>
      </c>
      <c r="T15" s="33" t="s">
        <v>22</v>
      </c>
      <c r="U15" s="33">
        <v>-2.95</v>
      </c>
      <c r="V15" s="33">
        <v>256.95</v>
      </c>
      <c r="W15" s="33">
        <v>15.79</v>
      </c>
      <c r="X15" s="33">
        <v>1131</v>
      </c>
      <c r="Y15" s="33">
        <v>473</v>
      </c>
      <c r="Z15" s="33">
        <v>473</v>
      </c>
      <c r="AA15" s="33">
        <v>-2.5999999999999999E-2</v>
      </c>
      <c r="AB15" s="33">
        <v>2.91</v>
      </c>
      <c r="AC15" s="33">
        <v>-81.31</v>
      </c>
      <c r="AD15" s="33">
        <v>1.1000000000000001E-3</v>
      </c>
      <c r="AE15" s="33">
        <v>-0.86</v>
      </c>
    </row>
    <row r="16" spans="1:31" x14ac:dyDescent="0.25">
      <c r="A16" s="33">
        <v>7.0000000000000007E-2</v>
      </c>
      <c r="B16" s="33">
        <v>5.9999999999999995E-4</v>
      </c>
      <c r="C16" s="33">
        <v>-48.53</v>
      </c>
      <c r="D16" s="33">
        <v>1.79</v>
      </c>
      <c r="E16" s="33">
        <v>2E-3</v>
      </c>
      <c r="F16" s="33">
        <v>5668</v>
      </c>
      <c r="G16" s="33">
        <v>5668</v>
      </c>
      <c r="H16" s="33">
        <v>29907</v>
      </c>
      <c r="I16" s="33">
        <v>16.920000000000002</v>
      </c>
      <c r="J16" s="33">
        <v>7.1</v>
      </c>
      <c r="K16" s="33">
        <v>-62.63</v>
      </c>
      <c r="L16" s="33" t="s">
        <v>22</v>
      </c>
      <c r="M16" s="33">
        <v>7.05</v>
      </c>
      <c r="N16" s="33">
        <v>7.15</v>
      </c>
      <c r="O16" s="33" t="s">
        <v>22</v>
      </c>
      <c r="P16" s="34">
        <v>49500</v>
      </c>
      <c r="Q16" s="33" t="s">
        <v>22</v>
      </c>
      <c r="R16" s="33">
        <v>349.35</v>
      </c>
      <c r="S16" s="33">
        <v>351.75</v>
      </c>
      <c r="T16" s="33" t="s">
        <v>22</v>
      </c>
      <c r="U16" s="33">
        <v>-1.1599999999999999</v>
      </c>
      <c r="V16" s="33">
        <v>348.8</v>
      </c>
      <c r="W16" s="33">
        <v>16.920000000000002</v>
      </c>
      <c r="X16" s="33">
        <v>405</v>
      </c>
      <c r="Y16" s="33">
        <v>302</v>
      </c>
      <c r="Z16" s="33">
        <v>302</v>
      </c>
      <c r="AA16" s="33">
        <v>-2.8000000000000001E-2</v>
      </c>
      <c r="AB16" s="33">
        <v>1.79</v>
      </c>
      <c r="AC16" s="33">
        <v>-48.53</v>
      </c>
      <c r="AD16" s="33">
        <v>5.9999999999999995E-4</v>
      </c>
      <c r="AE16" s="33">
        <v>-0.93</v>
      </c>
    </row>
    <row r="17" spans="1:31" x14ac:dyDescent="0.25">
      <c r="A17" s="33">
        <v>0.04</v>
      </c>
      <c r="B17" s="33">
        <v>4.0000000000000002E-4</v>
      </c>
      <c r="C17" s="33">
        <v>-29.29</v>
      </c>
      <c r="D17" s="33">
        <v>1.1299999999999999</v>
      </c>
      <c r="E17" s="33">
        <v>1E-3</v>
      </c>
      <c r="F17" s="33">
        <v>7206</v>
      </c>
      <c r="G17" s="33">
        <v>7206</v>
      </c>
      <c r="H17" s="33">
        <v>26658</v>
      </c>
      <c r="I17" s="33">
        <v>18.559999999999999</v>
      </c>
      <c r="J17" s="33">
        <v>3.95</v>
      </c>
      <c r="K17" s="33">
        <v>-64.41</v>
      </c>
      <c r="L17" s="33" t="s">
        <v>22</v>
      </c>
      <c r="M17" s="33">
        <v>3.95</v>
      </c>
      <c r="N17" s="33">
        <v>4.05</v>
      </c>
      <c r="O17" s="33" t="s">
        <v>22</v>
      </c>
      <c r="P17" s="34">
        <v>49600</v>
      </c>
      <c r="Q17" s="33" t="s">
        <v>22</v>
      </c>
      <c r="R17" s="33">
        <v>440.95</v>
      </c>
      <c r="S17" s="33">
        <v>447.7</v>
      </c>
      <c r="T17" s="33" t="s">
        <v>22</v>
      </c>
      <c r="U17" s="33">
        <v>1.86</v>
      </c>
      <c r="V17" s="33">
        <v>448.15</v>
      </c>
      <c r="W17" s="33">
        <v>18.559999999999999</v>
      </c>
      <c r="X17" s="33">
        <v>217</v>
      </c>
      <c r="Y17" s="33">
        <v>99</v>
      </c>
      <c r="Z17" s="33">
        <v>99</v>
      </c>
      <c r="AA17" s="33">
        <v>-2.8000000000000001E-2</v>
      </c>
      <c r="AB17" s="33">
        <v>1.1299999999999999</v>
      </c>
      <c r="AC17" s="33">
        <v>-29.29</v>
      </c>
      <c r="AD17" s="33">
        <v>4.0000000000000002E-4</v>
      </c>
      <c r="AE17" s="33">
        <v>-0.96</v>
      </c>
    </row>
    <row r="18" spans="1:31" x14ac:dyDescent="0.25">
      <c r="A18" s="43">
        <v>0.02</v>
      </c>
      <c r="B18" s="43">
        <v>2.0000000000000001E-4</v>
      </c>
      <c r="C18" s="43">
        <v>-17.47</v>
      </c>
      <c r="D18" s="43">
        <v>0.75</v>
      </c>
      <c r="E18" s="43">
        <v>1E-3</v>
      </c>
      <c r="F18" s="43">
        <v>4102</v>
      </c>
      <c r="G18" s="43">
        <v>4102</v>
      </c>
      <c r="H18" s="43">
        <v>11950</v>
      </c>
      <c r="I18" s="43">
        <v>20.39</v>
      </c>
      <c r="J18" s="43">
        <v>2.4500000000000002</v>
      </c>
      <c r="K18" s="43">
        <v>-64.489999999999995</v>
      </c>
      <c r="L18" s="43" t="s">
        <v>22</v>
      </c>
      <c r="M18" s="43">
        <v>2.4500000000000002</v>
      </c>
      <c r="N18" s="43">
        <v>2.5499999999999998</v>
      </c>
      <c r="O18" s="43" t="s">
        <v>22</v>
      </c>
      <c r="P18" s="48">
        <v>49700</v>
      </c>
      <c r="Q18" s="43" t="s">
        <v>22</v>
      </c>
      <c r="R18" s="43">
        <v>544.25</v>
      </c>
      <c r="S18" s="43">
        <v>566.4</v>
      </c>
      <c r="T18" s="43" t="s">
        <v>22</v>
      </c>
      <c r="U18" s="43">
        <v>1.53</v>
      </c>
      <c r="V18" s="43">
        <v>549.20000000000005</v>
      </c>
      <c r="W18" s="43">
        <v>20.39</v>
      </c>
      <c r="X18" s="43">
        <v>185</v>
      </c>
      <c r="Y18" s="43">
        <v>95</v>
      </c>
      <c r="Z18" s="43">
        <v>95</v>
      </c>
      <c r="AA18" s="43">
        <v>-2.9000000000000001E-2</v>
      </c>
      <c r="AB18" s="43">
        <v>0.75</v>
      </c>
      <c r="AC18" s="43">
        <v>-17.47</v>
      </c>
      <c r="AD18" s="43">
        <v>2.0000000000000001E-4</v>
      </c>
      <c r="AE18" s="43">
        <v>-0.98</v>
      </c>
    </row>
    <row r="19" spans="1:31" x14ac:dyDescent="0.25">
      <c r="A19" s="43">
        <v>0.02</v>
      </c>
      <c r="B19" s="43">
        <v>1E-4</v>
      </c>
      <c r="C19" s="43">
        <v>-11.04</v>
      </c>
      <c r="D19" s="43">
        <v>0.54</v>
      </c>
      <c r="E19" s="43">
        <v>1E-3</v>
      </c>
      <c r="F19" s="43">
        <v>3940</v>
      </c>
      <c r="G19" s="43">
        <v>3940</v>
      </c>
      <c r="H19" s="43">
        <v>6358</v>
      </c>
      <c r="I19" s="43">
        <v>22.49</v>
      </c>
      <c r="J19" s="43">
        <v>1.75</v>
      </c>
      <c r="K19" s="43">
        <v>-59.3</v>
      </c>
      <c r="L19" s="43" t="s">
        <v>22</v>
      </c>
      <c r="M19" s="43">
        <v>1.75</v>
      </c>
      <c r="N19" s="43">
        <v>1.8</v>
      </c>
      <c r="O19" s="43" t="s">
        <v>22</v>
      </c>
      <c r="P19" s="48">
        <v>49800</v>
      </c>
      <c r="Q19" s="43" t="s">
        <v>22</v>
      </c>
      <c r="R19" s="43">
        <v>626</v>
      </c>
      <c r="S19" s="43">
        <v>649.85</v>
      </c>
      <c r="T19" s="43" t="s">
        <v>22</v>
      </c>
      <c r="U19" s="43">
        <v>0.12</v>
      </c>
      <c r="V19" s="43">
        <v>636.79999999999995</v>
      </c>
      <c r="W19" s="43">
        <v>22.49</v>
      </c>
      <c r="X19" s="43">
        <v>6</v>
      </c>
      <c r="Y19" s="43">
        <v>95</v>
      </c>
      <c r="Z19" s="43">
        <v>95</v>
      </c>
      <c r="AA19" s="43">
        <v>-0.03</v>
      </c>
      <c r="AB19" s="43">
        <v>0.54</v>
      </c>
      <c r="AC19" s="43">
        <v>-11.04</v>
      </c>
      <c r="AD19" s="43">
        <v>1E-4</v>
      </c>
      <c r="AE19" s="43">
        <v>-0.98</v>
      </c>
    </row>
    <row r="20" spans="1:31" x14ac:dyDescent="0.25">
      <c r="A20" s="43">
        <v>0.01</v>
      </c>
      <c r="B20" s="43">
        <v>1E-4</v>
      </c>
      <c r="C20" s="43">
        <v>-3.79</v>
      </c>
      <c r="D20" s="43">
        <v>0.36</v>
      </c>
      <c r="E20" s="43">
        <v>0</v>
      </c>
      <c r="F20" s="43">
        <v>2790</v>
      </c>
      <c r="G20" s="43">
        <v>2790</v>
      </c>
      <c r="H20" s="43">
        <v>5046</v>
      </c>
      <c r="I20" s="43">
        <v>24.01</v>
      </c>
      <c r="J20" s="43">
        <v>1.1000000000000001</v>
      </c>
      <c r="K20" s="43">
        <v>-62.71</v>
      </c>
      <c r="L20" s="43" t="s">
        <v>22</v>
      </c>
      <c r="M20" s="43">
        <v>1</v>
      </c>
      <c r="N20" s="43">
        <v>1.1000000000000001</v>
      </c>
      <c r="O20" s="43" t="s">
        <v>22</v>
      </c>
      <c r="P20" s="48">
        <v>49900</v>
      </c>
      <c r="Q20" s="43" t="s">
        <v>22</v>
      </c>
      <c r="R20" s="43">
        <v>739</v>
      </c>
      <c r="S20" s="43">
        <v>767.3</v>
      </c>
      <c r="T20" s="43" t="s">
        <v>22</v>
      </c>
      <c r="U20" s="43" t="s">
        <v>22</v>
      </c>
      <c r="V20" s="43">
        <v>0</v>
      </c>
      <c r="W20" s="43">
        <v>24.01</v>
      </c>
      <c r="X20" s="43">
        <v>0</v>
      </c>
      <c r="Y20" s="43">
        <v>13</v>
      </c>
      <c r="Z20" s="43">
        <v>13</v>
      </c>
      <c r="AA20" s="43">
        <v>-3.4000000000000002E-2</v>
      </c>
      <c r="AB20" s="43">
        <v>0.36</v>
      </c>
      <c r="AC20" s="43">
        <v>-3.79</v>
      </c>
      <c r="AD20" s="43">
        <v>1E-4</v>
      </c>
      <c r="AE20" s="43">
        <v>-0.99</v>
      </c>
    </row>
    <row r="21" spans="1:31" x14ac:dyDescent="0.25">
      <c r="A21" s="43">
        <v>0.01</v>
      </c>
      <c r="B21" s="43">
        <v>1E-4</v>
      </c>
      <c r="C21" s="43">
        <v>-0.06</v>
      </c>
      <c r="D21" s="43">
        <v>0.26</v>
      </c>
      <c r="E21" s="43">
        <v>0</v>
      </c>
      <c r="F21" s="43">
        <v>6458</v>
      </c>
      <c r="G21" s="43">
        <v>6458</v>
      </c>
      <c r="H21" s="43">
        <v>8459</v>
      </c>
      <c r="I21" s="43">
        <v>25.87</v>
      </c>
      <c r="J21" s="43">
        <v>0.8</v>
      </c>
      <c r="K21" s="43">
        <v>-68.63</v>
      </c>
      <c r="L21" s="43" t="s">
        <v>22</v>
      </c>
      <c r="M21" s="43">
        <v>0.8</v>
      </c>
      <c r="N21" s="43">
        <v>0.9</v>
      </c>
      <c r="O21" s="43" t="s">
        <v>22</v>
      </c>
      <c r="P21" s="48">
        <v>50000</v>
      </c>
      <c r="Q21" s="43" t="s">
        <v>22</v>
      </c>
      <c r="R21" s="43">
        <v>312</v>
      </c>
      <c r="S21" s="43">
        <v>852.4</v>
      </c>
      <c r="T21" s="43" t="s">
        <v>22</v>
      </c>
      <c r="U21" s="43" t="s">
        <v>22</v>
      </c>
      <c r="V21" s="43">
        <v>0</v>
      </c>
      <c r="W21" s="43">
        <v>25.87</v>
      </c>
      <c r="X21" s="43">
        <v>0</v>
      </c>
      <c r="Y21" s="43">
        <v>81</v>
      </c>
      <c r="Z21" s="43">
        <v>81</v>
      </c>
      <c r="AA21" s="43">
        <v>-3.4000000000000002E-2</v>
      </c>
      <c r="AB21" s="43">
        <v>0.26</v>
      </c>
      <c r="AC21" s="43">
        <v>-0.06</v>
      </c>
      <c r="AD21" s="43">
        <v>1E-4</v>
      </c>
      <c r="AE21" s="43">
        <v>-0.99</v>
      </c>
    </row>
    <row r="22" spans="1:31" x14ac:dyDescent="0.25">
      <c r="A22" s="43">
        <v>0</v>
      </c>
      <c r="B22" s="43">
        <v>0</v>
      </c>
      <c r="C22" s="43">
        <v>3.45</v>
      </c>
      <c r="D22" s="43">
        <v>0.18</v>
      </c>
      <c r="E22" s="43">
        <v>0</v>
      </c>
      <c r="F22" s="43">
        <v>1299</v>
      </c>
      <c r="G22" s="43">
        <v>1299</v>
      </c>
      <c r="H22" s="43">
        <v>1926</v>
      </c>
      <c r="I22" s="43">
        <v>27.44</v>
      </c>
      <c r="J22" s="43">
        <v>0.55000000000000004</v>
      </c>
      <c r="K22" s="43">
        <v>-71.05</v>
      </c>
      <c r="L22" s="43" t="s">
        <v>22</v>
      </c>
      <c r="M22" s="43">
        <v>0.55000000000000004</v>
      </c>
      <c r="N22" s="43">
        <v>0.65</v>
      </c>
      <c r="O22" s="43" t="s">
        <v>22</v>
      </c>
      <c r="P22" s="48">
        <v>50100</v>
      </c>
      <c r="Q22" s="43" t="s">
        <v>22</v>
      </c>
      <c r="R22" s="43">
        <v>926.2</v>
      </c>
      <c r="S22" s="43">
        <v>966.85</v>
      </c>
      <c r="T22" s="43" t="s">
        <v>22</v>
      </c>
      <c r="U22" s="43" t="s">
        <v>22</v>
      </c>
      <c r="V22" s="43">
        <v>0</v>
      </c>
      <c r="W22" s="43">
        <v>27.44</v>
      </c>
      <c r="X22" s="43">
        <v>0</v>
      </c>
      <c r="Y22" s="43">
        <v>0</v>
      </c>
      <c r="Z22" s="43">
        <v>0</v>
      </c>
      <c r="AA22" s="43">
        <v>-3.4000000000000002E-2</v>
      </c>
      <c r="AB22" s="43">
        <v>0.18</v>
      </c>
      <c r="AC22" s="43">
        <v>3.45</v>
      </c>
      <c r="AD22" s="43">
        <v>0</v>
      </c>
      <c r="AE22" s="43">
        <v>-1</v>
      </c>
    </row>
    <row r="23" spans="1:31" x14ac:dyDescent="0.25">
      <c r="A23" s="43">
        <v>0.01</v>
      </c>
      <c r="B23" s="43">
        <v>0</v>
      </c>
      <c r="C23" s="43">
        <v>1.74</v>
      </c>
      <c r="D23" s="43">
        <v>0.19</v>
      </c>
      <c r="E23" s="43">
        <v>0</v>
      </c>
      <c r="F23" s="43">
        <v>732</v>
      </c>
      <c r="G23" s="43">
        <v>732</v>
      </c>
      <c r="H23" s="43">
        <v>205</v>
      </c>
      <c r="I23" s="43">
        <v>30.62</v>
      </c>
      <c r="J23" s="43">
        <v>0.65</v>
      </c>
      <c r="K23" s="43">
        <v>-60.61</v>
      </c>
      <c r="L23" s="43" t="s">
        <v>22</v>
      </c>
      <c r="M23" s="43">
        <v>0.55000000000000004</v>
      </c>
      <c r="N23" s="43">
        <v>0.65</v>
      </c>
      <c r="O23" s="43" t="s">
        <v>22</v>
      </c>
      <c r="P23" s="48">
        <v>50200</v>
      </c>
      <c r="Q23" s="43" t="s">
        <v>22</v>
      </c>
      <c r="R23" s="43">
        <v>1026.2</v>
      </c>
      <c r="S23" s="43">
        <v>1066.8</v>
      </c>
      <c r="T23" s="43" t="s">
        <v>22</v>
      </c>
      <c r="U23" s="43" t="s">
        <v>22</v>
      </c>
      <c r="V23" s="43">
        <v>0</v>
      </c>
      <c r="W23" s="43">
        <v>30.62</v>
      </c>
      <c r="X23" s="43">
        <v>0</v>
      </c>
      <c r="Y23" s="43">
        <v>0</v>
      </c>
      <c r="Z23" s="43">
        <v>0</v>
      </c>
      <c r="AA23" s="43">
        <v>-3.4000000000000002E-2</v>
      </c>
      <c r="AB23" s="43">
        <v>0.19</v>
      </c>
      <c r="AC23" s="43">
        <v>1.74</v>
      </c>
      <c r="AD23" s="43">
        <v>0</v>
      </c>
      <c r="AE23" s="43">
        <v>-0.99</v>
      </c>
    </row>
    <row r="24" spans="1:31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1:31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1:31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1:31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1:31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1:31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1:31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1:31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1:31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1:31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1:31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1:31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1:31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1:31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1:31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1:31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1:31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1:31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1:31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1:31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1:31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1:31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1:31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1:31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1:31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1:31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1:31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1:31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1:31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1:31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1:31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1:31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1:31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1:31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1:31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1:31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1:31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1:31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1:31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1:31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1:31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1:31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1:31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1:31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1:31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1:31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1:31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1:31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1:31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1:31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1:31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1:31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1:31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1:31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1:31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1:31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1:31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1:31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1:31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1:31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1:31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1:31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1:31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1:31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1:31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1:31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1:31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1:31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1:31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3" spans="1:31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</row>
    <row r="94" spans="1:31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</row>
    <row r="95" spans="1:31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</row>
    <row r="96" spans="1:31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</row>
    <row r="97" spans="1:31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</row>
    <row r="98" spans="1:31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</row>
    <row r="99" spans="1:31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</row>
    <row r="100" spans="1:31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</row>
    <row r="101" spans="1:31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</row>
    <row r="102" spans="1:31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</row>
    <row r="103" spans="1:31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</row>
    <row r="104" spans="1:31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</row>
    <row r="105" spans="1:31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</row>
    <row r="106" spans="1:31" x14ac:dyDescent="0.25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</row>
    <row r="107" spans="1:31" x14ac:dyDescent="0.25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</row>
    <row r="108" spans="1:31" x14ac:dyDescent="0.25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</row>
    <row r="109" spans="1:31" x14ac:dyDescent="0.25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</row>
    <row r="110" spans="1:31" x14ac:dyDescent="0.25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</row>
    <row r="111" spans="1:31" x14ac:dyDescent="0.25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</row>
    <row r="112" spans="1:31" x14ac:dyDescent="0.25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</row>
    <row r="113" spans="1:31" x14ac:dyDescent="0.25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</row>
    <row r="114" spans="1:31" x14ac:dyDescent="0.25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</row>
    <row r="115" spans="1:31" x14ac:dyDescent="0.25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</row>
    <row r="116" spans="1:31" x14ac:dyDescent="0.25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</row>
    <row r="117" spans="1:31" x14ac:dyDescent="0.25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</row>
    <row r="118" spans="1:31" x14ac:dyDescent="0.25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</row>
    <row r="119" spans="1:31" x14ac:dyDescent="0.25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</row>
    <row r="120" spans="1:31" x14ac:dyDescent="0.25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</row>
    <row r="121" spans="1:31" x14ac:dyDescent="0.25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</row>
    <row r="122" spans="1:31" x14ac:dyDescent="0.25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</row>
    <row r="123" spans="1:31" x14ac:dyDescent="0.25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</row>
    <row r="124" spans="1:31" x14ac:dyDescent="0.25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</row>
    <row r="125" spans="1:31" x14ac:dyDescent="0.25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</row>
    <row r="126" spans="1:31" x14ac:dyDescent="0.25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</row>
    <row r="127" spans="1:31" x14ac:dyDescent="0.25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</row>
    <row r="128" spans="1:31" x14ac:dyDescent="0.25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</row>
    <row r="129" spans="1:31" x14ac:dyDescent="0.25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</row>
    <row r="130" spans="1:31" x14ac:dyDescent="0.25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</row>
    <row r="131" spans="1:31" x14ac:dyDescent="0.25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</row>
    <row r="132" spans="1:31" x14ac:dyDescent="0.25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</row>
    <row r="133" spans="1:31" x14ac:dyDescent="0.25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</row>
    <row r="134" spans="1:31" x14ac:dyDescent="0.25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</row>
    <row r="135" spans="1:31" x14ac:dyDescent="0.25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</row>
    <row r="136" spans="1:31" x14ac:dyDescent="0.25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</row>
    <row r="137" spans="1:31" x14ac:dyDescent="0.25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</row>
    <row r="138" spans="1:31" x14ac:dyDescent="0.25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</row>
    <row r="139" spans="1:31" x14ac:dyDescent="0.25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</row>
    <row r="140" spans="1:31" x14ac:dyDescent="0.25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</row>
    <row r="141" spans="1:31" x14ac:dyDescent="0.25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</row>
    <row r="142" spans="1:31" x14ac:dyDescent="0.25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</row>
    <row r="143" spans="1:31" x14ac:dyDescent="0.25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</row>
    <row r="144" spans="1:31" x14ac:dyDescent="0.25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</row>
    <row r="145" spans="1:31" x14ac:dyDescent="0.25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</row>
    <row r="146" spans="1:31" x14ac:dyDescent="0.25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</row>
    <row r="147" spans="1:31" x14ac:dyDescent="0.25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</row>
    <row r="148" spans="1:31" x14ac:dyDescent="0.25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</row>
    <row r="149" spans="1:31" x14ac:dyDescent="0.25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</row>
    <row r="150" spans="1:31" x14ac:dyDescent="0.25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</row>
    <row r="151" spans="1:31" x14ac:dyDescent="0.25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</row>
    <row r="152" spans="1:31" x14ac:dyDescent="0.25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</row>
    <row r="153" spans="1:31" x14ac:dyDescent="0.25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</row>
    <row r="154" spans="1:31" x14ac:dyDescent="0.25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</row>
    <row r="155" spans="1:31" x14ac:dyDescent="0.25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</row>
    <row r="156" spans="1:31" x14ac:dyDescent="0.25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</row>
    <row r="157" spans="1:31" x14ac:dyDescent="0.25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</row>
    <row r="158" spans="1:31" x14ac:dyDescent="0.25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</row>
    <row r="159" spans="1:31" x14ac:dyDescent="0.25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</row>
    <row r="160" spans="1:31" x14ac:dyDescent="0.25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</row>
    <row r="161" spans="1:31" x14ac:dyDescent="0.25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</row>
    <row r="162" spans="1:31" x14ac:dyDescent="0.25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</row>
    <row r="163" spans="1:31" x14ac:dyDescent="0.25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</row>
    <row r="164" spans="1:31" x14ac:dyDescent="0.2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</row>
    <row r="165" spans="1:31" x14ac:dyDescent="0.25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</row>
    <row r="166" spans="1:31" x14ac:dyDescent="0.25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</row>
    <row r="167" spans="1:31" x14ac:dyDescent="0.25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</row>
    <row r="168" spans="1:31" x14ac:dyDescent="0.25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</row>
    <row r="169" spans="1:31" x14ac:dyDescent="0.25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</row>
    <row r="170" spans="1:31" x14ac:dyDescent="0.25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</row>
    <row r="171" spans="1:31" x14ac:dyDescent="0.25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</row>
    <row r="172" spans="1:31" x14ac:dyDescent="0.25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</row>
    <row r="173" spans="1:31" x14ac:dyDescent="0.25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</row>
    <row r="174" spans="1:31" x14ac:dyDescent="0.25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</row>
    <row r="175" spans="1:31" x14ac:dyDescent="0.25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</row>
    <row r="176" spans="1:31" x14ac:dyDescent="0.25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</row>
    <row r="177" spans="1:31" x14ac:dyDescent="0.25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</row>
    <row r="178" spans="1:31" x14ac:dyDescent="0.25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</row>
    <row r="179" spans="1:31" x14ac:dyDescent="0.25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</row>
    <row r="180" spans="1:31" x14ac:dyDescent="0.25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</row>
    <row r="181" spans="1:31" x14ac:dyDescent="0.25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</row>
    <row r="182" spans="1:31" x14ac:dyDescent="0.25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</row>
    <row r="183" spans="1:31" x14ac:dyDescent="0.25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</row>
    <row r="184" spans="1:31" x14ac:dyDescent="0.25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</row>
    <row r="185" spans="1:31" x14ac:dyDescent="0.25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</row>
    <row r="186" spans="1:31" x14ac:dyDescent="0.25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</row>
    <row r="187" spans="1:31" x14ac:dyDescent="0.25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</row>
    <row r="188" spans="1:31" x14ac:dyDescent="0.25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</row>
    <row r="189" spans="1:31" x14ac:dyDescent="0.25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</row>
    <row r="190" spans="1:31" x14ac:dyDescent="0.25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</row>
    <row r="191" spans="1:31" x14ac:dyDescent="0.25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</row>
    <row r="192" spans="1:31" x14ac:dyDescent="0.25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</row>
    <row r="193" spans="1:31" x14ac:dyDescent="0.25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</row>
    <row r="194" spans="1:31" x14ac:dyDescent="0.25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</row>
    <row r="195" spans="1:31" x14ac:dyDescent="0.25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</row>
    <row r="196" spans="1:31" x14ac:dyDescent="0.25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</row>
    <row r="197" spans="1:31" x14ac:dyDescent="0.25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</row>
    <row r="198" spans="1:31" x14ac:dyDescent="0.25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</row>
    <row r="199" spans="1:31" x14ac:dyDescent="0.25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</row>
    <row r="200" spans="1:31" x14ac:dyDescent="0.25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</row>
    <row r="201" spans="1:31" x14ac:dyDescent="0.25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</row>
    <row r="202" spans="1:31" x14ac:dyDescent="0.25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</row>
    <row r="203" spans="1:31" x14ac:dyDescent="0.25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</row>
    <row r="204" spans="1:31" x14ac:dyDescent="0.25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</row>
    <row r="205" spans="1:31" x14ac:dyDescent="0.25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</row>
    <row r="206" spans="1:31" x14ac:dyDescent="0.25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</row>
    <row r="207" spans="1:31" x14ac:dyDescent="0.25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</row>
    <row r="208" spans="1:31" x14ac:dyDescent="0.25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</row>
    <row r="209" spans="1:31" x14ac:dyDescent="0.25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</row>
    <row r="210" spans="1:31" x14ac:dyDescent="0.25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</row>
    <row r="211" spans="1:31" x14ac:dyDescent="0.25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</row>
    <row r="212" spans="1:31" x14ac:dyDescent="0.25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</row>
    <row r="213" spans="1:31" x14ac:dyDescent="0.25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</row>
    <row r="214" spans="1:31" x14ac:dyDescent="0.25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</row>
    <row r="215" spans="1:31" x14ac:dyDescent="0.25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</row>
    <row r="216" spans="1:31" x14ac:dyDescent="0.25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</row>
    <row r="217" spans="1:31" x14ac:dyDescent="0.25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</row>
    <row r="218" spans="1:31" x14ac:dyDescent="0.25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</row>
    <row r="219" spans="1:31" x14ac:dyDescent="0.25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</row>
    <row r="220" spans="1:31" x14ac:dyDescent="0.25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</row>
    <row r="221" spans="1:31" x14ac:dyDescent="0.2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</row>
    <row r="222" spans="1:31" x14ac:dyDescent="0.2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</row>
    <row r="223" spans="1:31" x14ac:dyDescent="0.2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</row>
    <row r="224" spans="1:31" x14ac:dyDescent="0.2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</row>
    <row r="225" spans="1:31" x14ac:dyDescent="0.2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</row>
    <row r="226" spans="1:31" x14ac:dyDescent="0.2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</row>
    <row r="227" spans="1:31" x14ac:dyDescent="0.2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</row>
    <row r="228" spans="1:31" x14ac:dyDescent="0.2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</row>
    <row r="229" spans="1:31" x14ac:dyDescent="0.2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</row>
    <row r="230" spans="1:31" x14ac:dyDescent="0.2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</row>
    <row r="231" spans="1:31" x14ac:dyDescent="0.2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</row>
    <row r="232" spans="1:31" x14ac:dyDescent="0.2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</row>
    <row r="233" spans="1:31" x14ac:dyDescent="0.2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</row>
    <row r="234" spans="1:31" x14ac:dyDescent="0.2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</row>
    <row r="235" spans="1:31" x14ac:dyDescent="0.2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</row>
    <row r="236" spans="1:31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</row>
    <row r="237" spans="1:31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</row>
    <row r="238" spans="1:31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</row>
    <row r="239" spans="1:31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</row>
    <row r="240" spans="1:31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</row>
    <row r="241" spans="1:31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</row>
    <row r="242" spans="1:31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</row>
    <row r="243" spans="1:31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</row>
    <row r="244" spans="1:31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</row>
    <row r="245" spans="1:31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</row>
    <row r="246" spans="1:31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</row>
    <row r="247" spans="1:31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</row>
    <row r="248" spans="1:31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</row>
    <row r="249" spans="1:31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</row>
    <row r="250" spans="1:31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</row>
    <row r="251" spans="1:31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</row>
    <row r="252" spans="1:31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</row>
    <row r="253" spans="1:31" x14ac:dyDescent="0.2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</row>
    <row r="254" spans="1:31" x14ac:dyDescent="0.2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</row>
    <row r="255" spans="1:31" x14ac:dyDescent="0.2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</row>
    <row r="256" spans="1:31" x14ac:dyDescent="0.2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</row>
    <row r="257" spans="1:31" x14ac:dyDescent="0.2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</row>
    <row r="258" spans="1:31" x14ac:dyDescent="0.2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</row>
    <row r="259" spans="1:31" x14ac:dyDescent="0.2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</row>
    <row r="260" spans="1:31" x14ac:dyDescent="0.2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</row>
    <row r="261" spans="1:31" x14ac:dyDescent="0.2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</row>
    <row r="262" spans="1:31" x14ac:dyDescent="0.2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</row>
    <row r="263" spans="1:31" x14ac:dyDescent="0.2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</row>
    <row r="264" spans="1:31" x14ac:dyDescent="0.2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</row>
    <row r="265" spans="1:31" x14ac:dyDescent="0.2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</row>
    <row r="266" spans="1:31" x14ac:dyDescent="0.2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</row>
    <row r="267" spans="1:31" x14ac:dyDescent="0.2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</row>
    <row r="268" spans="1:31" x14ac:dyDescent="0.2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</row>
    <row r="269" spans="1:31" x14ac:dyDescent="0.2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</row>
    <row r="270" spans="1:31" x14ac:dyDescent="0.2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</row>
    <row r="271" spans="1:31" x14ac:dyDescent="0.2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</row>
    <row r="272" spans="1:31" x14ac:dyDescent="0.2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</row>
    <row r="273" spans="1:31" x14ac:dyDescent="0.2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</row>
    <row r="274" spans="1:31" x14ac:dyDescent="0.2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</row>
    <row r="275" spans="1:31" x14ac:dyDescent="0.2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</row>
    <row r="276" spans="1:31" x14ac:dyDescent="0.2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</row>
    <row r="277" spans="1:31" x14ac:dyDescent="0.2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</row>
    <row r="278" spans="1:31" x14ac:dyDescent="0.2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</row>
    <row r="279" spans="1:31" x14ac:dyDescent="0.2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</row>
    <row r="280" spans="1:31" x14ac:dyDescent="0.2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</row>
    <row r="281" spans="1:31" x14ac:dyDescent="0.2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</row>
    <row r="282" spans="1:31" x14ac:dyDescent="0.2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</row>
    <row r="283" spans="1:31" x14ac:dyDescent="0.2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</row>
    <row r="284" spans="1:31" x14ac:dyDescent="0.2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</row>
    <row r="285" spans="1:31" x14ac:dyDescent="0.2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</row>
    <row r="286" spans="1:31" x14ac:dyDescent="0.2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</row>
    <row r="287" spans="1:31" x14ac:dyDescent="0.2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</row>
    <row r="288" spans="1:31" x14ac:dyDescent="0.2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</row>
    <row r="289" spans="1:31" x14ac:dyDescent="0.2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</row>
    <row r="290" spans="1:31" x14ac:dyDescent="0.2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</row>
    <row r="291" spans="1:31" x14ac:dyDescent="0.2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</row>
    <row r="292" spans="1:31" x14ac:dyDescent="0.2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</row>
    <row r="293" spans="1:31" x14ac:dyDescent="0.2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</row>
    <row r="294" spans="1:31" x14ac:dyDescent="0.2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</row>
    <row r="295" spans="1:31" x14ac:dyDescent="0.2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</row>
    <row r="296" spans="1:31" x14ac:dyDescent="0.2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</row>
    <row r="297" spans="1:31" x14ac:dyDescent="0.2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</row>
    <row r="298" spans="1:31" x14ac:dyDescent="0.2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</row>
    <row r="299" spans="1:31" x14ac:dyDescent="0.2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</row>
    <row r="300" spans="1:31" x14ac:dyDescent="0.2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</row>
    <row r="301" spans="1:31" x14ac:dyDescent="0.2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</row>
    <row r="302" spans="1:31" x14ac:dyDescent="0.2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</row>
    <row r="303" spans="1:31" x14ac:dyDescent="0.2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</row>
    <row r="304" spans="1:31" x14ac:dyDescent="0.2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</row>
    <row r="305" spans="1:31" x14ac:dyDescent="0.2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</row>
    <row r="306" spans="1:31" x14ac:dyDescent="0.2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</row>
    <row r="307" spans="1:31" x14ac:dyDescent="0.2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</row>
    <row r="308" spans="1:31" x14ac:dyDescent="0.2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</row>
    <row r="309" spans="1:31" x14ac:dyDescent="0.2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</row>
    <row r="310" spans="1:31" x14ac:dyDescent="0.2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</row>
    <row r="311" spans="1:31" x14ac:dyDescent="0.2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</row>
    <row r="312" spans="1:31" x14ac:dyDescent="0.2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</row>
    <row r="313" spans="1:31" x14ac:dyDescent="0.2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</row>
    <row r="314" spans="1:31" x14ac:dyDescent="0.2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</row>
    <row r="315" spans="1:31" x14ac:dyDescent="0.2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</row>
    <row r="316" spans="1:31" x14ac:dyDescent="0.2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</row>
    <row r="317" spans="1:31" x14ac:dyDescent="0.2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</row>
    <row r="318" spans="1:31" x14ac:dyDescent="0.2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</row>
    <row r="319" spans="1:31" x14ac:dyDescent="0.2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</row>
    <row r="320" spans="1:31" x14ac:dyDescent="0.2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</row>
    <row r="321" spans="1:31" x14ac:dyDescent="0.2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</row>
    <row r="322" spans="1:31" x14ac:dyDescent="0.2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</row>
    <row r="323" spans="1:31" x14ac:dyDescent="0.2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</row>
    <row r="324" spans="1:31" x14ac:dyDescent="0.2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</row>
    <row r="325" spans="1:31" x14ac:dyDescent="0.2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</row>
    <row r="326" spans="1:31" x14ac:dyDescent="0.2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</row>
    <row r="327" spans="1:31" x14ac:dyDescent="0.2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</row>
    <row r="328" spans="1:31" x14ac:dyDescent="0.2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</row>
    <row r="329" spans="1:31" x14ac:dyDescent="0.2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</row>
    <row r="330" spans="1:31" x14ac:dyDescent="0.2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</row>
    <row r="331" spans="1:31" x14ac:dyDescent="0.2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</row>
    <row r="332" spans="1:31" x14ac:dyDescent="0.2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</row>
    <row r="333" spans="1:31" x14ac:dyDescent="0.2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</row>
    <row r="334" spans="1:31" x14ac:dyDescent="0.2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</row>
    <row r="335" spans="1:31" x14ac:dyDescent="0.2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</row>
    <row r="336" spans="1:31" x14ac:dyDescent="0.2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</row>
    <row r="337" spans="1:31" x14ac:dyDescent="0.2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</row>
    <row r="338" spans="1:31" x14ac:dyDescent="0.2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</row>
    <row r="339" spans="1:31" x14ac:dyDescent="0.2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</row>
    <row r="340" spans="1:31" x14ac:dyDescent="0.2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</row>
    <row r="341" spans="1:31" x14ac:dyDescent="0.2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</row>
    <row r="342" spans="1:31" x14ac:dyDescent="0.2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</row>
    <row r="343" spans="1:31" x14ac:dyDescent="0.2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</row>
    <row r="344" spans="1:31" x14ac:dyDescent="0.2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</row>
    <row r="345" spans="1:31" x14ac:dyDescent="0.2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</row>
    <row r="346" spans="1:31" x14ac:dyDescent="0.2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</row>
    <row r="347" spans="1:31" x14ac:dyDescent="0.2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</row>
    <row r="348" spans="1:31" x14ac:dyDescent="0.2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</row>
    <row r="349" spans="1:31" x14ac:dyDescent="0.2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</row>
    <row r="350" spans="1:31" x14ac:dyDescent="0.2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</row>
    <row r="351" spans="1:31" x14ac:dyDescent="0.2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</row>
    <row r="352" spans="1:31" x14ac:dyDescent="0.2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</row>
    <row r="353" spans="1:31" x14ac:dyDescent="0.2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</row>
    <row r="354" spans="1:31" x14ac:dyDescent="0.2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</row>
    <row r="355" spans="1:31" x14ac:dyDescent="0.2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</row>
    <row r="356" spans="1:31" x14ac:dyDescent="0.2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</row>
    <row r="357" spans="1:31" x14ac:dyDescent="0.2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</row>
    <row r="358" spans="1:31" x14ac:dyDescent="0.2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</row>
    <row r="359" spans="1:31" x14ac:dyDescent="0.2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</row>
    <row r="360" spans="1:31" x14ac:dyDescent="0.2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</row>
    <row r="361" spans="1:31" x14ac:dyDescent="0.2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</row>
    <row r="362" spans="1:31" x14ac:dyDescent="0.2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</row>
    <row r="363" spans="1:31" x14ac:dyDescent="0.2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</row>
    <row r="364" spans="1:31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</row>
    <row r="365" spans="1:31" x14ac:dyDescent="0.2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</row>
    <row r="366" spans="1:31" x14ac:dyDescent="0.2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</row>
    <row r="367" spans="1:31" x14ac:dyDescent="0.2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</row>
    <row r="368" spans="1:31" x14ac:dyDescent="0.2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</row>
    <row r="369" spans="1:31" x14ac:dyDescent="0.2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</row>
    <row r="370" spans="1:31" x14ac:dyDescent="0.2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</row>
    <row r="371" spans="1:31" x14ac:dyDescent="0.2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</row>
    <row r="372" spans="1:31" x14ac:dyDescent="0.2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</row>
    <row r="373" spans="1:31" x14ac:dyDescent="0.2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</row>
    <row r="374" spans="1:31" x14ac:dyDescent="0.2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</row>
    <row r="375" spans="1:31" x14ac:dyDescent="0.2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</row>
    <row r="376" spans="1:31" x14ac:dyDescent="0.2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</row>
    <row r="377" spans="1:31" x14ac:dyDescent="0.2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</row>
    <row r="378" spans="1:31" x14ac:dyDescent="0.2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</row>
    <row r="379" spans="1:31" x14ac:dyDescent="0.2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</row>
    <row r="380" spans="1:31" x14ac:dyDescent="0.2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</row>
    <row r="381" spans="1:31" x14ac:dyDescent="0.2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</row>
    <row r="382" spans="1:31" x14ac:dyDescent="0.2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</row>
    <row r="383" spans="1:31" x14ac:dyDescent="0.2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</row>
    <row r="384" spans="1:31" x14ac:dyDescent="0.2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</row>
    <row r="385" spans="1:31" x14ac:dyDescent="0.2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</row>
    <row r="386" spans="1:31" x14ac:dyDescent="0.2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</row>
    <row r="387" spans="1:31" x14ac:dyDescent="0.2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</row>
    <row r="388" spans="1:31" x14ac:dyDescent="0.2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</row>
    <row r="389" spans="1:31" x14ac:dyDescent="0.2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</row>
    <row r="390" spans="1:31" x14ac:dyDescent="0.2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</row>
    <row r="391" spans="1:31" x14ac:dyDescent="0.2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</row>
    <row r="392" spans="1:31" x14ac:dyDescent="0.2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</row>
    <row r="393" spans="1:31" x14ac:dyDescent="0.2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</row>
    <row r="394" spans="1:31" x14ac:dyDescent="0.2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</row>
    <row r="395" spans="1:31" x14ac:dyDescent="0.2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</row>
    <row r="396" spans="1:31" x14ac:dyDescent="0.2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</row>
    <row r="397" spans="1:31" x14ac:dyDescent="0.2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</row>
    <row r="398" spans="1:31" x14ac:dyDescent="0.2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</row>
    <row r="399" spans="1:31" x14ac:dyDescent="0.2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</row>
    <row r="400" spans="1:31" x14ac:dyDescent="0.2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</row>
    <row r="401" spans="1:31" x14ac:dyDescent="0.2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</row>
    <row r="402" spans="1:31" x14ac:dyDescent="0.2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</row>
    <row r="403" spans="1:31" x14ac:dyDescent="0.2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</row>
    <row r="404" spans="1:31" x14ac:dyDescent="0.2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</row>
    <row r="405" spans="1:31" x14ac:dyDescent="0.2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</row>
    <row r="406" spans="1:31" x14ac:dyDescent="0.2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</row>
    <row r="407" spans="1:31" x14ac:dyDescent="0.2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</row>
    <row r="408" spans="1:31" x14ac:dyDescent="0.2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</row>
    <row r="409" spans="1:31" x14ac:dyDescent="0.2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</row>
    <row r="410" spans="1:31" x14ac:dyDescent="0.2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</row>
    <row r="411" spans="1:31" x14ac:dyDescent="0.2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</row>
    <row r="412" spans="1:31" x14ac:dyDescent="0.2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</row>
    <row r="413" spans="1:31" x14ac:dyDescent="0.2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</row>
    <row r="414" spans="1:31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</row>
    <row r="415" spans="1:31" x14ac:dyDescent="0.2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</row>
    <row r="416" spans="1:31" x14ac:dyDescent="0.2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</row>
    <row r="417" spans="1:31" x14ac:dyDescent="0.2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</row>
    <row r="418" spans="1:31" x14ac:dyDescent="0.2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</row>
    <row r="419" spans="1:31" x14ac:dyDescent="0.2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</row>
    <row r="420" spans="1:31" x14ac:dyDescent="0.2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</row>
    <row r="421" spans="1:31" x14ac:dyDescent="0.2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</row>
    <row r="422" spans="1:31" x14ac:dyDescent="0.2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</row>
    <row r="423" spans="1:31" x14ac:dyDescent="0.2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</row>
    <row r="424" spans="1:31" x14ac:dyDescent="0.2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</row>
    <row r="425" spans="1:31" x14ac:dyDescent="0.2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</row>
    <row r="426" spans="1:31" x14ac:dyDescent="0.2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</row>
    <row r="427" spans="1:31" x14ac:dyDescent="0.2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</row>
    <row r="428" spans="1:31" x14ac:dyDescent="0.2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</row>
    <row r="429" spans="1:31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</row>
    <row r="430" spans="1:31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</row>
    <row r="431" spans="1:31" x14ac:dyDescent="0.2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</row>
    <row r="432" spans="1:31" x14ac:dyDescent="0.2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</row>
    <row r="433" spans="1:31" x14ac:dyDescent="0.2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</row>
    <row r="434" spans="1:31" x14ac:dyDescent="0.2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</row>
    <row r="435" spans="1:31" x14ac:dyDescent="0.2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</row>
    <row r="436" spans="1:31" x14ac:dyDescent="0.2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</row>
    <row r="437" spans="1:31" x14ac:dyDescent="0.2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</row>
    <row r="438" spans="1:31" x14ac:dyDescent="0.2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</row>
    <row r="439" spans="1:31" x14ac:dyDescent="0.2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</row>
    <row r="440" spans="1:31" x14ac:dyDescent="0.2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</row>
    <row r="441" spans="1:31" x14ac:dyDescent="0.2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</row>
    <row r="442" spans="1:31" x14ac:dyDescent="0.2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</row>
    <row r="443" spans="1:31" x14ac:dyDescent="0.2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</row>
    <row r="444" spans="1:31" x14ac:dyDescent="0.2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</row>
    <row r="445" spans="1:31" x14ac:dyDescent="0.2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</row>
    <row r="446" spans="1:31" x14ac:dyDescent="0.2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</row>
    <row r="447" spans="1:31" x14ac:dyDescent="0.2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</row>
    <row r="448" spans="1:31" x14ac:dyDescent="0.2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</row>
    <row r="449" spans="1:31" x14ac:dyDescent="0.2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</row>
    <row r="450" spans="1:31" x14ac:dyDescent="0.2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</row>
    <row r="451" spans="1:31" x14ac:dyDescent="0.2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</row>
    <row r="452" spans="1:31" x14ac:dyDescent="0.2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</row>
    <row r="453" spans="1:31" x14ac:dyDescent="0.2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</row>
    <row r="454" spans="1:31" x14ac:dyDescent="0.2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</row>
    <row r="455" spans="1:31" x14ac:dyDescent="0.2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</row>
    <row r="456" spans="1:31" x14ac:dyDescent="0.2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</row>
    <row r="457" spans="1:31" x14ac:dyDescent="0.2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</row>
    <row r="458" spans="1:31" x14ac:dyDescent="0.2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</row>
    <row r="459" spans="1:31" x14ac:dyDescent="0.2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</row>
    <row r="460" spans="1:31" x14ac:dyDescent="0.2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</row>
    <row r="461" spans="1:31" x14ac:dyDescent="0.2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</row>
    <row r="462" spans="1:31" x14ac:dyDescent="0.2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</row>
    <row r="463" spans="1:31" x14ac:dyDescent="0.2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</row>
    <row r="464" spans="1:31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</row>
    <row r="465" spans="1:31" x14ac:dyDescent="0.2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</row>
    <row r="466" spans="1:31" x14ac:dyDescent="0.2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</row>
    <row r="467" spans="1:31" x14ac:dyDescent="0.2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</row>
    <row r="468" spans="1:31" x14ac:dyDescent="0.2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</row>
    <row r="469" spans="1:31" x14ac:dyDescent="0.2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</row>
    <row r="470" spans="1:31" x14ac:dyDescent="0.2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</row>
    <row r="471" spans="1:31" x14ac:dyDescent="0.2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</row>
    <row r="472" spans="1:31" x14ac:dyDescent="0.2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</row>
    <row r="473" spans="1:31" x14ac:dyDescent="0.2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</row>
    <row r="474" spans="1:31" x14ac:dyDescent="0.2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</row>
    <row r="475" spans="1:31" x14ac:dyDescent="0.2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</row>
    <row r="476" spans="1:31" x14ac:dyDescent="0.2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</row>
    <row r="477" spans="1:31" x14ac:dyDescent="0.2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</row>
    <row r="478" spans="1:31" x14ac:dyDescent="0.2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</row>
    <row r="479" spans="1:31" x14ac:dyDescent="0.2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</row>
    <row r="480" spans="1:31" x14ac:dyDescent="0.2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</row>
    <row r="481" spans="1:31" x14ac:dyDescent="0.2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</row>
    <row r="482" spans="1:31" x14ac:dyDescent="0.2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</row>
    <row r="483" spans="1:31" x14ac:dyDescent="0.2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</row>
    <row r="484" spans="1:31" x14ac:dyDescent="0.2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</row>
    <row r="485" spans="1:31" x14ac:dyDescent="0.2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</row>
    <row r="486" spans="1:31" x14ac:dyDescent="0.2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</row>
    <row r="487" spans="1:31" x14ac:dyDescent="0.2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</row>
    <row r="488" spans="1:31" x14ac:dyDescent="0.2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</row>
    <row r="489" spans="1:31" x14ac:dyDescent="0.2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</row>
    <row r="490" spans="1:31" x14ac:dyDescent="0.2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</row>
    <row r="491" spans="1:31" x14ac:dyDescent="0.2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</row>
    <row r="492" spans="1:31" x14ac:dyDescent="0.2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</row>
    <row r="493" spans="1:31" x14ac:dyDescent="0.2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</row>
    <row r="494" spans="1:31" x14ac:dyDescent="0.2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</row>
    <row r="495" spans="1:31" x14ac:dyDescent="0.2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</row>
    <row r="496" spans="1:31" x14ac:dyDescent="0.2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</row>
    <row r="497" spans="1:31" x14ac:dyDescent="0.2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</row>
    <row r="498" spans="1:31" x14ac:dyDescent="0.2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</row>
    <row r="499" spans="1:31" x14ac:dyDescent="0.2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</row>
    <row r="500" spans="1:31" x14ac:dyDescent="0.2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</row>
  </sheetData>
  <mergeCells count="2">
    <mergeCell ref="A1:O1"/>
    <mergeCell ref="Q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88"/>
  <sheetViews>
    <sheetView workbookViewId="0">
      <selection activeCell="E4" sqref="E4"/>
    </sheetView>
  </sheetViews>
  <sheetFormatPr defaultRowHeight="15" x14ac:dyDescent="0.25"/>
  <cols>
    <col min="1" max="1" width="11.85546875" bestFit="1" customWidth="1"/>
    <col min="2" max="2" width="15.28515625" customWidth="1"/>
    <col min="3" max="3" width="6.5703125" bestFit="1" customWidth="1"/>
    <col min="4" max="4" width="15.140625" bestFit="1" customWidth="1"/>
    <col min="5" max="5" width="15.42578125" customWidth="1"/>
    <col min="8" max="8" width="26.85546875" bestFit="1" customWidth="1"/>
    <col min="9" max="9" width="11.140625" customWidth="1"/>
    <col min="10" max="10" width="8.28515625" customWidth="1"/>
  </cols>
  <sheetData>
    <row r="1" spans="1:10" x14ac:dyDescent="0.25">
      <c r="A1" t="s">
        <v>5</v>
      </c>
      <c r="B1" t="s">
        <v>264</v>
      </c>
      <c r="C1" t="s">
        <v>30</v>
      </c>
      <c r="D1" s="72" t="s">
        <v>240</v>
      </c>
      <c r="E1" s="72"/>
      <c r="H1" s="73" t="s">
        <v>244</v>
      </c>
      <c r="I1" s="73"/>
      <c r="J1" s="73"/>
    </row>
    <row r="2" spans="1:10" x14ac:dyDescent="0.25">
      <c r="A2" t="s">
        <v>323</v>
      </c>
      <c r="B2" s="25">
        <v>45254</v>
      </c>
      <c r="C2">
        <v>10</v>
      </c>
      <c r="D2" t="s">
        <v>265</v>
      </c>
      <c r="E2" s="35" t="s">
        <v>322</v>
      </c>
      <c r="H2" s="38"/>
      <c r="I2" s="39" t="s">
        <v>271</v>
      </c>
      <c r="J2" s="40" t="s">
        <v>272</v>
      </c>
    </row>
    <row r="3" spans="1:10" x14ac:dyDescent="0.25">
      <c r="A3" t="s">
        <v>324</v>
      </c>
      <c r="B3" s="25">
        <v>45261</v>
      </c>
      <c r="C3">
        <v>10</v>
      </c>
      <c r="D3" t="s">
        <v>241</v>
      </c>
      <c r="E3" s="36" t="s">
        <v>324</v>
      </c>
      <c r="H3" s="41" t="s">
        <v>273</v>
      </c>
      <c r="I3" s="71">
        <v>66068.600000000006</v>
      </c>
      <c r="J3" s="71"/>
    </row>
    <row r="4" spans="1:10" x14ac:dyDescent="0.25">
      <c r="A4" t="s">
        <v>31</v>
      </c>
      <c r="B4" s="25">
        <v>45268</v>
      </c>
      <c r="C4">
        <v>10</v>
      </c>
      <c r="D4" t="s">
        <v>266</v>
      </c>
      <c r="E4" s="37">
        <f>B2</f>
        <v>45254</v>
      </c>
      <c r="H4" s="41" t="s">
        <v>274</v>
      </c>
      <c r="I4" s="71">
        <v>66000</v>
      </c>
      <c r="J4" s="71"/>
    </row>
    <row r="5" spans="1:10" x14ac:dyDescent="0.25">
      <c r="A5" t="s">
        <v>32</v>
      </c>
      <c r="B5" s="25">
        <v>45275</v>
      </c>
      <c r="C5">
        <v>10</v>
      </c>
      <c r="D5" t="s">
        <v>242</v>
      </c>
      <c r="E5" s="36">
        <v>5</v>
      </c>
      <c r="H5" s="41" t="s">
        <v>275</v>
      </c>
      <c r="I5" s="41">
        <v>124.45</v>
      </c>
      <c r="J5" s="41">
        <v>68.05</v>
      </c>
    </row>
    <row r="6" spans="1:10" x14ac:dyDescent="0.25">
      <c r="A6" t="s">
        <v>34</v>
      </c>
      <c r="B6" s="25">
        <v>45282</v>
      </c>
      <c r="C6">
        <v>10</v>
      </c>
      <c r="D6" t="s">
        <v>243</v>
      </c>
      <c r="E6" s="36">
        <v>10</v>
      </c>
      <c r="H6" s="41" t="s">
        <v>276</v>
      </c>
      <c r="I6" s="71">
        <v>66100</v>
      </c>
      <c r="J6" s="71"/>
    </row>
    <row r="7" spans="1:10" x14ac:dyDescent="0.25">
      <c r="A7" t="s">
        <v>35</v>
      </c>
      <c r="B7" s="25">
        <v>45289</v>
      </c>
      <c r="C7">
        <v>10</v>
      </c>
      <c r="D7" t="s">
        <v>267</v>
      </c>
      <c r="E7" s="36" t="s">
        <v>268</v>
      </c>
      <c r="H7" s="41" t="s">
        <v>277</v>
      </c>
      <c r="I7" s="41">
        <v>69.650000000000006</v>
      </c>
      <c r="J7" s="41">
        <v>112.6</v>
      </c>
    </row>
    <row r="8" spans="1:10" x14ac:dyDescent="0.25">
      <c r="A8" t="s">
        <v>36</v>
      </c>
      <c r="B8" s="25">
        <v>45296</v>
      </c>
      <c r="C8">
        <v>10</v>
      </c>
      <c r="D8" t="s">
        <v>269</v>
      </c>
      <c r="E8" s="36" t="s">
        <v>270</v>
      </c>
      <c r="H8" s="41" t="s">
        <v>278</v>
      </c>
      <c r="I8" s="41">
        <v>1140456</v>
      </c>
      <c r="J8" s="41">
        <v>1063421</v>
      </c>
    </row>
    <row r="9" spans="1:10" x14ac:dyDescent="0.25">
      <c r="A9" t="s">
        <v>37</v>
      </c>
      <c r="B9" s="25">
        <v>45316</v>
      </c>
      <c r="C9">
        <v>10</v>
      </c>
      <c r="H9" s="41" t="s">
        <v>279</v>
      </c>
      <c r="I9" s="41">
        <v>1140456</v>
      </c>
      <c r="J9" s="41">
        <v>1063421</v>
      </c>
    </row>
    <row r="10" spans="1:10" x14ac:dyDescent="0.25">
      <c r="A10" t="s">
        <v>38</v>
      </c>
      <c r="B10" s="25">
        <v>45380</v>
      </c>
      <c r="C10">
        <v>10</v>
      </c>
      <c r="H10" s="41" t="s">
        <v>280</v>
      </c>
      <c r="I10" s="41">
        <v>136456</v>
      </c>
      <c r="J10" s="41">
        <v>127645</v>
      </c>
    </row>
    <row r="11" spans="1:10" x14ac:dyDescent="0.25">
      <c r="A11" t="s">
        <v>39</v>
      </c>
      <c r="B11" s="25">
        <v>45471</v>
      </c>
      <c r="C11">
        <v>10</v>
      </c>
      <c r="H11" s="41" t="s">
        <v>281</v>
      </c>
      <c r="I11" s="41">
        <v>67000</v>
      </c>
      <c r="J11" s="41">
        <v>66000</v>
      </c>
    </row>
    <row r="12" spans="1:10" x14ac:dyDescent="0.25">
      <c r="A12" t="s">
        <v>40</v>
      </c>
      <c r="B12" s="25">
        <v>45562</v>
      </c>
      <c r="C12">
        <v>10</v>
      </c>
      <c r="H12" s="41" t="s">
        <v>282</v>
      </c>
      <c r="I12" s="41">
        <v>1.1499999999999999</v>
      </c>
      <c r="J12" s="41">
        <v>68.05</v>
      </c>
    </row>
    <row r="13" spans="1:10" x14ac:dyDescent="0.25">
      <c r="A13" t="s">
        <v>41</v>
      </c>
      <c r="B13" s="25">
        <v>45653</v>
      </c>
      <c r="C13">
        <v>10</v>
      </c>
      <c r="H13" s="41" t="s">
        <v>283</v>
      </c>
      <c r="I13" s="41">
        <v>136456</v>
      </c>
      <c r="J13" s="41">
        <v>127645</v>
      </c>
    </row>
    <row r="14" spans="1:10" x14ac:dyDescent="0.25">
      <c r="A14" t="s">
        <v>42</v>
      </c>
      <c r="B14" s="25">
        <v>45835</v>
      </c>
      <c r="C14">
        <v>10</v>
      </c>
      <c r="H14" s="41" t="s">
        <v>284</v>
      </c>
      <c r="I14" s="41">
        <v>67000</v>
      </c>
      <c r="J14" s="41">
        <v>66000</v>
      </c>
    </row>
    <row r="15" spans="1:10" x14ac:dyDescent="0.25">
      <c r="A15" t="s">
        <v>43</v>
      </c>
      <c r="B15" s="25">
        <v>46017</v>
      </c>
      <c r="C15">
        <v>10</v>
      </c>
      <c r="H15" s="41" t="s">
        <v>285</v>
      </c>
      <c r="I15" s="41">
        <v>1.1499999999999999</v>
      </c>
      <c r="J15" s="41">
        <v>68.05</v>
      </c>
    </row>
    <row r="16" spans="1:10" x14ac:dyDescent="0.25">
      <c r="A16" t="s">
        <v>44</v>
      </c>
      <c r="B16" s="25">
        <v>46199</v>
      </c>
      <c r="C16">
        <v>10</v>
      </c>
      <c r="H16" s="41" t="s">
        <v>286</v>
      </c>
      <c r="I16" s="41">
        <v>0</v>
      </c>
      <c r="J16" s="41">
        <v>0</v>
      </c>
    </row>
    <row r="17" spans="1:10" x14ac:dyDescent="0.25">
      <c r="A17" t="s">
        <v>45</v>
      </c>
      <c r="B17" s="25">
        <v>46381</v>
      </c>
      <c r="C17">
        <v>10</v>
      </c>
      <c r="H17" s="41" t="s">
        <v>287</v>
      </c>
      <c r="I17" s="41">
        <v>64400</v>
      </c>
      <c r="J17" s="41">
        <v>66800</v>
      </c>
    </row>
    <row r="18" spans="1:10" x14ac:dyDescent="0.25">
      <c r="A18" t="s">
        <v>46</v>
      </c>
      <c r="B18" s="25">
        <v>46563</v>
      </c>
      <c r="C18">
        <v>10</v>
      </c>
      <c r="H18" s="41" t="s">
        <v>288</v>
      </c>
      <c r="I18" s="41">
        <v>0</v>
      </c>
      <c r="J18" s="41">
        <v>0</v>
      </c>
    </row>
    <row r="19" spans="1:10" x14ac:dyDescent="0.25">
      <c r="A19" t="s">
        <v>48</v>
      </c>
      <c r="B19" s="25">
        <v>46752</v>
      </c>
      <c r="C19">
        <v>10</v>
      </c>
    </row>
    <row r="20" spans="1:10" x14ac:dyDescent="0.25">
      <c r="A20" t="s">
        <v>49</v>
      </c>
      <c r="B20" s="25">
        <v>46934</v>
      </c>
      <c r="C20">
        <v>10</v>
      </c>
    </row>
    <row r="21" spans="1:10" x14ac:dyDescent="0.25">
      <c r="A21" t="s">
        <v>50</v>
      </c>
      <c r="B21" s="25"/>
    </row>
    <row r="22" spans="1:10" x14ac:dyDescent="0.25">
      <c r="A22" t="s">
        <v>51</v>
      </c>
      <c r="B22" s="25"/>
    </row>
    <row r="23" spans="1:10" x14ac:dyDescent="0.25">
      <c r="A23" t="s">
        <v>52</v>
      </c>
      <c r="B23" s="25"/>
    </row>
    <row r="24" spans="1:10" x14ac:dyDescent="0.25">
      <c r="A24" t="s">
        <v>53</v>
      </c>
      <c r="B24" s="25"/>
    </row>
    <row r="25" spans="1:10" x14ac:dyDescent="0.25">
      <c r="A25" t="s">
        <v>54</v>
      </c>
      <c r="B25" s="25"/>
    </row>
    <row r="26" spans="1:10" x14ac:dyDescent="0.25">
      <c r="A26" t="s">
        <v>55</v>
      </c>
    </row>
    <row r="27" spans="1:10" x14ac:dyDescent="0.25">
      <c r="A27" t="s">
        <v>56</v>
      </c>
    </row>
    <row r="28" spans="1:10" x14ac:dyDescent="0.25">
      <c r="A28" t="s">
        <v>57</v>
      </c>
    </row>
    <row r="29" spans="1:10" x14ac:dyDescent="0.25">
      <c r="A29" t="s">
        <v>58</v>
      </c>
    </row>
    <row r="30" spans="1:10" x14ac:dyDescent="0.25">
      <c r="A30" t="s">
        <v>59</v>
      </c>
    </row>
    <row r="31" spans="1:10" x14ac:dyDescent="0.25">
      <c r="A31" t="s">
        <v>60</v>
      </c>
    </row>
    <row r="32" spans="1:10" x14ac:dyDescent="0.25">
      <c r="A32" t="s">
        <v>61</v>
      </c>
    </row>
    <row r="33" spans="1:1" x14ac:dyDescent="0.25">
      <c r="A33" t="s">
        <v>62</v>
      </c>
    </row>
    <row r="34" spans="1:1" x14ac:dyDescent="0.25">
      <c r="A34" t="s">
        <v>63</v>
      </c>
    </row>
    <row r="35" spans="1:1" x14ac:dyDescent="0.25">
      <c r="A35" t="s">
        <v>64</v>
      </c>
    </row>
    <row r="36" spans="1:1" x14ac:dyDescent="0.25">
      <c r="A36" t="s">
        <v>65</v>
      </c>
    </row>
    <row r="37" spans="1:1" x14ac:dyDescent="0.25">
      <c r="A37" t="s">
        <v>66</v>
      </c>
    </row>
    <row r="38" spans="1:1" x14ac:dyDescent="0.25">
      <c r="A38" t="s">
        <v>67</v>
      </c>
    </row>
    <row r="39" spans="1:1" x14ac:dyDescent="0.25">
      <c r="A39" t="s">
        <v>68</v>
      </c>
    </row>
    <row r="40" spans="1:1" x14ac:dyDescent="0.25">
      <c r="A40" t="s">
        <v>69</v>
      </c>
    </row>
    <row r="41" spans="1:1" x14ac:dyDescent="0.25">
      <c r="A41" t="s">
        <v>70</v>
      </c>
    </row>
    <row r="42" spans="1:1" x14ac:dyDescent="0.25">
      <c r="A42" t="s">
        <v>71</v>
      </c>
    </row>
    <row r="43" spans="1:1" x14ac:dyDescent="0.25">
      <c r="A43" t="s">
        <v>72</v>
      </c>
    </row>
    <row r="44" spans="1:1" x14ac:dyDescent="0.25">
      <c r="A44" t="s">
        <v>73</v>
      </c>
    </row>
    <row r="45" spans="1:1" x14ac:dyDescent="0.25">
      <c r="A45" t="s">
        <v>74</v>
      </c>
    </row>
    <row r="46" spans="1:1" x14ac:dyDescent="0.25">
      <c r="A46" t="s">
        <v>75</v>
      </c>
    </row>
    <row r="47" spans="1:1" x14ac:dyDescent="0.25">
      <c r="A47" t="s">
        <v>76</v>
      </c>
    </row>
    <row r="48" spans="1:1" x14ac:dyDescent="0.25">
      <c r="A48" t="s">
        <v>77</v>
      </c>
    </row>
    <row r="49" spans="1:1" x14ac:dyDescent="0.25">
      <c r="A49" t="s">
        <v>78</v>
      </c>
    </row>
    <row r="50" spans="1:1" x14ac:dyDescent="0.25">
      <c r="A50" t="s">
        <v>79</v>
      </c>
    </row>
    <row r="51" spans="1:1" x14ac:dyDescent="0.25">
      <c r="A51" t="s">
        <v>80</v>
      </c>
    </row>
    <row r="52" spans="1:1" x14ac:dyDescent="0.25">
      <c r="A52" t="s">
        <v>81</v>
      </c>
    </row>
    <row r="53" spans="1:1" x14ac:dyDescent="0.25">
      <c r="A53" t="s">
        <v>82</v>
      </c>
    </row>
    <row r="54" spans="1:1" x14ac:dyDescent="0.25">
      <c r="A54" t="s">
        <v>83</v>
      </c>
    </row>
    <row r="55" spans="1:1" x14ac:dyDescent="0.25">
      <c r="A55" t="s">
        <v>84</v>
      </c>
    </row>
    <row r="56" spans="1:1" x14ac:dyDescent="0.25">
      <c r="A56" t="s">
        <v>327</v>
      </c>
    </row>
    <row r="57" spans="1:1" x14ac:dyDescent="0.25">
      <c r="A57" t="s">
        <v>85</v>
      </c>
    </row>
    <row r="58" spans="1:1" x14ac:dyDescent="0.25">
      <c r="A58" t="s">
        <v>86</v>
      </c>
    </row>
    <row r="59" spans="1:1" x14ac:dyDescent="0.25">
      <c r="A59" t="s">
        <v>87</v>
      </c>
    </row>
    <row r="60" spans="1:1" x14ac:dyDescent="0.25">
      <c r="A60" t="s">
        <v>88</v>
      </c>
    </row>
    <row r="61" spans="1:1" x14ac:dyDescent="0.25">
      <c r="A61" t="s">
        <v>89</v>
      </c>
    </row>
    <row r="62" spans="1:1" x14ac:dyDescent="0.25">
      <c r="A62" t="s">
        <v>90</v>
      </c>
    </row>
    <row r="63" spans="1:1" x14ac:dyDescent="0.25">
      <c r="A63" t="s">
        <v>91</v>
      </c>
    </row>
    <row r="64" spans="1:1" x14ac:dyDescent="0.25">
      <c r="A64" t="s">
        <v>92</v>
      </c>
    </row>
    <row r="65" spans="1:1" x14ac:dyDescent="0.25">
      <c r="A65" t="s">
        <v>93</v>
      </c>
    </row>
    <row r="66" spans="1:1" x14ac:dyDescent="0.25">
      <c r="A66" t="s">
        <v>94</v>
      </c>
    </row>
    <row r="67" spans="1:1" x14ac:dyDescent="0.25">
      <c r="A67" t="s">
        <v>95</v>
      </c>
    </row>
    <row r="68" spans="1:1" x14ac:dyDescent="0.25">
      <c r="A68" t="s">
        <v>96</v>
      </c>
    </row>
    <row r="69" spans="1:1" x14ac:dyDescent="0.25">
      <c r="A69" t="s">
        <v>97</v>
      </c>
    </row>
    <row r="70" spans="1:1" x14ac:dyDescent="0.25">
      <c r="A70" t="s">
        <v>98</v>
      </c>
    </row>
    <row r="71" spans="1:1" x14ac:dyDescent="0.25">
      <c r="A71" t="s">
        <v>99</v>
      </c>
    </row>
    <row r="72" spans="1:1" x14ac:dyDescent="0.25">
      <c r="A72" t="s">
        <v>100</v>
      </c>
    </row>
    <row r="73" spans="1:1" x14ac:dyDescent="0.25">
      <c r="A73" t="s">
        <v>101</v>
      </c>
    </row>
    <row r="74" spans="1:1" x14ac:dyDescent="0.25">
      <c r="A74" t="s">
        <v>328</v>
      </c>
    </row>
    <row r="75" spans="1:1" x14ac:dyDescent="0.25">
      <c r="A75" t="s">
        <v>102</v>
      </c>
    </row>
    <row r="76" spans="1:1" x14ac:dyDescent="0.25">
      <c r="A76" t="s">
        <v>103</v>
      </c>
    </row>
    <row r="77" spans="1:1" x14ac:dyDescent="0.25">
      <c r="A77" t="s">
        <v>104</v>
      </c>
    </row>
    <row r="78" spans="1:1" x14ac:dyDescent="0.25">
      <c r="A78" t="s">
        <v>105</v>
      </c>
    </row>
    <row r="79" spans="1:1" x14ac:dyDescent="0.25">
      <c r="A79" t="s">
        <v>106</v>
      </c>
    </row>
    <row r="80" spans="1:1" x14ac:dyDescent="0.25">
      <c r="A80" t="s">
        <v>107</v>
      </c>
    </row>
    <row r="81" spans="1:1" x14ac:dyDescent="0.25">
      <c r="A81" t="s">
        <v>108</v>
      </c>
    </row>
    <row r="82" spans="1:1" x14ac:dyDescent="0.25">
      <c r="A82" t="s">
        <v>109</v>
      </c>
    </row>
    <row r="83" spans="1:1" x14ac:dyDescent="0.25">
      <c r="A83" t="s">
        <v>110</v>
      </c>
    </row>
    <row r="84" spans="1:1" x14ac:dyDescent="0.25">
      <c r="A84" t="s">
        <v>111</v>
      </c>
    </row>
    <row r="85" spans="1:1" x14ac:dyDescent="0.25">
      <c r="A85" t="s">
        <v>112</v>
      </c>
    </row>
    <row r="86" spans="1:1" x14ac:dyDescent="0.25">
      <c r="A86" t="s">
        <v>113</v>
      </c>
    </row>
    <row r="87" spans="1:1" x14ac:dyDescent="0.25">
      <c r="A87" t="s">
        <v>114</v>
      </c>
    </row>
    <row r="88" spans="1:1" x14ac:dyDescent="0.25">
      <c r="A88" t="s">
        <v>115</v>
      </c>
    </row>
    <row r="89" spans="1:1" x14ac:dyDescent="0.25">
      <c r="A89" t="s">
        <v>116</v>
      </c>
    </row>
    <row r="90" spans="1:1" x14ac:dyDescent="0.25">
      <c r="A90" t="s">
        <v>117</v>
      </c>
    </row>
    <row r="91" spans="1:1" x14ac:dyDescent="0.25">
      <c r="A91" t="s">
        <v>118</v>
      </c>
    </row>
    <row r="92" spans="1:1" x14ac:dyDescent="0.25">
      <c r="A92" t="s">
        <v>119</v>
      </c>
    </row>
    <row r="93" spans="1:1" x14ac:dyDescent="0.25">
      <c r="A93" t="s">
        <v>120</v>
      </c>
    </row>
    <row r="94" spans="1:1" x14ac:dyDescent="0.25">
      <c r="A94" t="s">
        <v>121</v>
      </c>
    </row>
    <row r="95" spans="1:1" x14ac:dyDescent="0.25">
      <c r="A95" t="s">
        <v>122</v>
      </c>
    </row>
    <row r="96" spans="1:1" x14ac:dyDescent="0.25">
      <c r="A96" t="s">
        <v>123</v>
      </c>
    </row>
    <row r="97" spans="1:1" x14ac:dyDescent="0.25">
      <c r="A97" t="s">
        <v>124</v>
      </c>
    </row>
    <row r="98" spans="1:1" x14ac:dyDescent="0.25">
      <c r="A98" t="s">
        <v>125</v>
      </c>
    </row>
    <row r="99" spans="1:1" x14ac:dyDescent="0.25">
      <c r="A99" t="s">
        <v>126</v>
      </c>
    </row>
    <row r="100" spans="1:1" x14ac:dyDescent="0.25">
      <c r="A100" t="s">
        <v>127</v>
      </c>
    </row>
    <row r="101" spans="1:1" x14ac:dyDescent="0.25">
      <c r="A101" t="s">
        <v>128</v>
      </c>
    </row>
    <row r="102" spans="1:1" x14ac:dyDescent="0.25">
      <c r="A102" t="s">
        <v>129</v>
      </c>
    </row>
    <row r="103" spans="1:1" x14ac:dyDescent="0.25">
      <c r="A103" t="s">
        <v>130</v>
      </c>
    </row>
    <row r="104" spans="1:1" x14ac:dyDescent="0.25">
      <c r="A104" t="s">
        <v>131</v>
      </c>
    </row>
    <row r="105" spans="1:1" x14ac:dyDescent="0.25">
      <c r="A105" t="s">
        <v>33</v>
      </c>
    </row>
    <row r="106" spans="1:1" x14ac:dyDescent="0.25">
      <c r="A106" t="s">
        <v>132</v>
      </c>
    </row>
    <row r="107" spans="1:1" x14ac:dyDescent="0.25">
      <c r="A107" t="s">
        <v>133</v>
      </c>
    </row>
    <row r="108" spans="1:1" x14ac:dyDescent="0.25">
      <c r="A108" t="s">
        <v>134</v>
      </c>
    </row>
    <row r="109" spans="1:1" x14ac:dyDescent="0.25">
      <c r="A109" t="s">
        <v>135</v>
      </c>
    </row>
    <row r="110" spans="1:1" x14ac:dyDescent="0.25">
      <c r="A110" t="s">
        <v>136</v>
      </c>
    </row>
    <row r="111" spans="1:1" x14ac:dyDescent="0.25">
      <c r="A111" t="s">
        <v>137</v>
      </c>
    </row>
    <row r="112" spans="1:1" x14ac:dyDescent="0.25">
      <c r="A112" t="s">
        <v>138</v>
      </c>
    </row>
    <row r="113" spans="1:1" x14ac:dyDescent="0.25">
      <c r="A113" t="s">
        <v>139</v>
      </c>
    </row>
    <row r="114" spans="1:1" x14ac:dyDescent="0.25">
      <c r="A114" t="s">
        <v>140</v>
      </c>
    </row>
    <row r="115" spans="1:1" x14ac:dyDescent="0.25">
      <c r="A115" t="s">
        <v>141</v>
      </c>
    </row>
    <row r="116" spans="1:1" x14ac:dyDescent="0.25">
      <c r="A116" t="s">
        <v>256</v>
      </c>
    </row>
    <row r="117" spans="1:1" x14ac:dyDescent="0.25">
      <c r="A117" t="s">
        <v>142</v>
      </c>
    </row>
    <row r="118" spans="1:1" x14ac:dyDescent="0.25">
      <c r="A118" t="s">
        <v>143</v>
      </c>
    </row>
    <row r="119" spans="1:1" x14ac:dyDescent="0.25">
      <c r="A119" t="s">
        <v>144</v>
      </c>
    </row>
    <row r="120" spans="1:1" x14ac:dyDescent="0.25">
      <c r="A120" t="s">
        <v>145</v>
      </c>
    </row>
    <row r="121" spans="1:1" x14ac:dyDescent="0.25">
      <c r="A121" t="s">
        <v>146</v>
      </c>
    </row>
    <row r="122" spans="1:1" x14ac:dyDescent="0.25">
      <c r="A122" t="s">
        <v>147</v>
      </c>
    </row>
    <row r="123" spans="1:1" x14ac:dyDescent="0.25">
      <c r="A123" t="s">
        <v>148</v>
      </c>
    </row>
    <row r="124" spans="1:1" x14ac:dyDescent="0.25">
      <c r="A124" t="s">
        <v>149</v>
      </c>
    </row>
    <row r="125" spans="1:1" x14ac:dyDescent="0.25">
      <c r="A125" t="s">
        <v>150</v>
      </c>
    </row>
    <row r="126" spans="1:1" x14ac:dyDescent="0.25">
      <c r="A126" t="s">
        <v>151</v>
      </c>
    </row>
    <row r="127" spans="1:1" x14ac:dyDescent="0.25">
      <c r="A127" t="s">
        <v>152</v>
      </c>
    </row>
    <row r="128" spans="1:1" x14ac:dyDescent="0.25">
      <c r="A128" t="s">
        <v>153</v>
      </c>
    </row>
    <row r="129" spans="1:1" x14ac:dyDescent="0.25">
      <c r="A129" t="s">
        <v>154</v>
      </c>
    </row>
    <row r="130" spans="1:1" x14ac:dyDescent="0.25">
      <c r="A130" t="s">
        <v>155</v>
      </c>
    </row>
    <row r="131" spans="1:1" x14ac:dyDescent="0.25">
      <c r="A131" t="s">
        <v>156</v>
      </c>
    </row>
    <row r="132" spans="1:1" x14ac:dyDescent="0.25">
      <c r="A132" t="s">
        <v>157</v>
      </c>
    </row>
    <row r="133" spans="1:1" x14ac:dyDescent="0.25">
      <c r="A133" t="s">
        <v>158</v>
      </c>
    </row>
    <row r="134" spans="1:1" x14ac:dyDescent="0.25">
      <c r="A134" t="s">
        <v>159</v>
      </c>
    </row>
    <row r="135" spans="1:1" x14ac:dyDescent="0.25">
      <c r="A135" t="s">
        <v>160</v>
      </c>
    </row>
    <row r="136" spans="1:1" x14ac:dyDescent="0.25">
      <c r="A136" t="s">
        <v>161</v>
      </c>
    </row>
    <row r="137" spans="1:1" x14ac:dyDescent="0.25">
      <c r="A137" t="s">
        <v>162</v>
      </c>
    </row>
    <row r="138" spans="1:1" x14ac:dyDescent="0.25">
      <c r="A138" t="s">
        <v>163</v>
      </c>
    </row>
    <row r="139" spans="1:1" x14ac:dyDescent="0.25">
      <c r="A139" t="s">
        <v>164</v>
      </c>
    </row>
    <row r="140" spans="1:1" x14ac:dyDescent="0.25">
      <c r="A140" t="s">
        <v>165</v>
      </c>
    </row>
    <row r="141" spans="1:1" x14ac:dyDescent="0.25">
      <c r="A141" t="s">
        <v>166</v>
      </c>
    </row>
    <row r="142" spans="1:1" x14ac:dyDescent="0.25">
      <c r="A142" t="s">
        <v>167</v>
      </c>
    </row>
    <row r="143" spans="1:1" x14ac:dyDescent="0.25">
      <c r="A143" t="s">
        <v>168</v>
      </c>
    </row>
    <row r="144" spans="1:1" x14ac:dyDescent="0.25">
      <c r="A144" t="s">
        <v>169</v>
      </c>
    </row>
    <row r="145" spans="1:1" x14ac:dyDescent="0.25">
      <c r="A145" t="s">
        <v>170</v>
      </c>
    </row>
    <row r="146" spans="1:1" x14ac:dyDescent="0.25">
      <c r="A146" t="s">
        <v>171</v>
      </c>
    </row>
    <row r="147" spans="1:1" x14ac:dyDescent="0.25">
      <c r="A147" t="s">
        <v>172</v>
      </c>
    </row>
    <row r="148" spans="1:1" x14ac:dyDescent="0.25">
      <c r="A148" t="s">
        <v>173</v>
      </c>
    </row>
    <row r="149" spans="1:1" x14ac:dyDescent="0.25">
      <c r="A149" t="s">
        <v>174</v>
      </c>
    </row>
    <row r="150" spans="1:1" x14ac:dyDescent="0.25">
      <c r="A150" t="s">
        <v>175</v>
      </c>
    </row>
    <row r="151" spans="1:1" x14ac:dyDescent="0.25">
      <c r="A151" t="s">
        <v>317</v>
      </c>
    </row>
    <row r="152" spans="1:1" x14ac:dyDescent="0.25">
      <c r="A152" t="s">
        <v>176</v>
      </c>
    </row>
    <row r="153" spans="1:1" x14ac:dyDescent="0.25">
      <c r="A153" t="s">
        <v>177</v>
      </c>
    </row>
    <row r="154" spans="1:1" x14ac:dyDescent="0.25">
      <c r="A154" t="s">
        <v>178</v>
      </c>
    </row>
    <row r="155" spans="1:1" x14ac:dyDescent="0.25">
      <c r="A155" t="s">
        <v>179</v>
      </c>
    </row>
    <row r="156" spans="1:1" x14ac:dyDescent="0.25">
      <c r="A156" t="s">
        <v>180</v>
      </c>
    </row>
    <row r="157" spans="1:1" x14ac:dyDescent="0.25">
      <c r="A157" t="s">
        <v>181</v>
      </c>
    </row>
    <row r="158" spans="1:1" x14ac:dyDescent="0.25">
      <c r="A158" t="s">
        <v>182</v>
      </c>
    </row>
    <row r="159" spans="1:1" x14ac:dyDescent="0.25">
      <c r="A159" t="s">
        <v>183</v>
      </c>
    </row>
    <row r="160" spans="1:1" x14ac:dyDescent="0.25">
      <c r="A160" t="s">
        <v>325</v>
      </c>
    </row>
    <row r="161" spans="1:1" x14ac:dyDescent="0.25">
      <c r="A161" t="s">
        <v>184</v>
      </c>
    </row>
    <row r="162" spans="1:1" x14ac:dyDescent="0.25">
      <c r="A162" t="s">
        <v>257</v>
      </c>
    </row>
    <row r="163" spans="1:1" x14ac:dyDescent="0.25">
      <c r="A163" t="s">
        <v>185</v>
      </c>
    </row>
    <row r="164" spans="1:1" x14ac:dyDescent="0.25">
      <c r="A164" t="s">
        <v>186</v>
      </c>
    </row>
    <row r="165" spans="1:1" x14ac:dyDescent="0.25">
      <c r="A165" t="s">
        <v>187</v>
      </c>
    </row>
    <row r="166" spans="1:1" x14ac:dyDescent="0.25">
      <c r="A166" t="s">
        <v>188</v>
      </c>
    </row>
    <row r="167" spans="1:1" x14ac:dyDescent="0.25">
      <c r="A167" t="s">
        <v>189</v>
      </c>
    </row>
    <row r="168" spans="1:1" x14ac:dyDescent="0.25">
      <c r="A168" t="s">
        <v>190</v>
      </c>
    </row>
    <row r="169" spans="1:1" x14ac:dyDescent="0.25">
      <c r="A169" t="s">
        <v>191</v>
      </c>
    </row>
    <row r="170" spans="1:1" x14ac:dyDescent="0.25">
      <c r="A170" t="s">
        <v>192</v>
      </c>
    </row>
    <row r="171" spans="1:1" x14ac:dyDescent="0.25">
      <c r="A171" t="s">
        <v>193</v>
      </c>
    </row>
    <row r="172" spans="1:1" x14ac:dyDescent="0.25">
      <c r="A172" t="s">
        <v>194</v>
      </c>
    </row>
    <row r="173" spans="1:1" x14ac:dyDescent="0.25">
      <c r="A173" t="s">
        <v>195</v>
      </c>
    </row>
    <row r="174" spans="1:1" x14ac:dyDescent="0.25">
      <c r="A174" t="s">
        <v>196</v>
      </c>
    </row>
    <row r="175" spans="1:1" x14ac:dyDescent="0.25">
      <c r="A175" t="s">
        <v>197</v>
      </c>
    </row>
    <row r="176" spans="1:1" x14ac:dyDescent="0.25">
      <c r="A176" t="s">
        <v>198</v>
      </c>
    </row>
    <row r="177" spans="1:1" x14ac:dyDescent="0.25">
      <c r="A177" t="s">
        <v>199</v>
      </c>
    </row>
    <row r="178" spans="1:1" x14ac:dyDescent="0.25">
      <c r="A178" t="s">
        <v>200</v>
      </c>
    </row>
    <row r="179" spans="1:1" x14ac:dyDescent="0.25">
      <c r="A179" t="s">
        <v>201</v>
      </c>
    </row>
    <row r="180" spans="1:1" x14ac:dyDescent="0.25">
      <c r="A180" t="s">
        <v>202</v>
      </c>
    </row>
    <row r="181" spans="1:1" x14ac:dyDescent="0.25">
      <c r="A181" t="s">
        <v>203</v>
      </c>
    </row>
    <row r="182" spans="1:1" x14ac:dyDescent="0.25">
      <c r="A182" t="s">
        <v>326</v>
      </c>
    </row>
    <row r="183" spans="1:1" x14ac:dyDescent="0.25">
      <c r="A183" t="s">
        <v>204</v>
      </c>
    </row>
    <row r="184" spans="1:1" x14ac:dyDescent="0.25">
      <c r="A184" t="s">
        <v>205</v>
      </c>
    </row>
    <row r="185" spans="1:1" x14ac:dyDescent="0.25">
      <c r="A185" t="s">
        <v>206</v>
      </c>
    </row>
    <row r="186" spans="1:1" x14ac:dyDescent="0.25">
      <c r="A186" t="s">
        <v>207</v>
      </c>
    </row>
    <row r="187" spans="1:1" x14ac:dyDescent="0.25">
      <c r="A187" t="s">
        <v>208</v>
      </c>
    </row>
    <row r="188" spans="1:1" x14ac:dyDescent="0.25">
      <c r="A188" t="s">
        <v>209</v>
      </c>
    </row>
  </sheetData>
  <mergeCells count="5">
    <mergeCell ref="D1:E1"/>
    <mergeCell ref="H1:J1"/>
    <mergeCell ref="I3:J3"/>
    <mergeCell ref="I4:J4"/>
    <mergeCell ref="I6:J6"/>
  </mergeCells>
  <dataValidations count="3">
    <dataValidation type="list" allowBlank="1" showInputMessage="1" showErrorMessage="1" sqref="E8" xr:uid="{00000000-0002-0000-0800-000000000000}">
      <formula1>"NSE,SENSIBULL"</formula1>
    </dataValidation>
    <dataValidation type="list" allowBlank="1" showInputMessage="1" showErrorMessage="1" sqref="E7" xr:uid="{00000000-0002-0000-0800-000001000000}">
      <formula1>"MONTHLY,WEEKLY"</formula1>
    </dataValidation>
    <dataValidation type="list" allowBlank="1" showInputMessage="1" showErrorMessage="1" sqref="E2" xr:uid="{00000000-0002-0000-0800-000002000000}">
      <formula1>"NFO-OPT,BFO-OPT,CDS-OPT,MCX-OPT"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E500"/>
  <sheetViews>
    <sheetView topLeftCell="C1" workbookViewId="0">
      <selection activeCell="C12" sqref="C12"/>
    </sheetView>
  </sheetViews>
  <sheetFormatPr defaultRowHeight="15" x14ac:dyDescent="0.25"/>
  <sheetData>
    <row r="1" spans="1:31" ht="30.75" thickBot="1" x14ac:dyDescent="0.3">
      <c r="A1" s="74" t="s">
        <v>245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30" t="s">
        <v>258</v>
      </c>
      <c r="Q1" s="74" t="s">
        <v>246</v>
      </c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</row>
    <row r="2" spans="1:31" x14ac:dyDescent="0.25">
      <c r="A2" s="29" t="s">
        <v>247</v>
      </c>
      <c r="B2" s="29" t="s">
        <v>259</v>
      </c>
      <c r="C2" s="29" t="s">
        <v>260</v>
      </c>
      <c r="D2" s="29" t="s">
        <v>261</v>
      </c>
      <c r="E2" s="29" t="s">
        <v>262</v>
      </c>
      <c r="F2" s="29" t="s">
        <v>47</v>
      </c>
      <c r="G2" s="26" t="s">
        <v>248</v>
      </c>
      <c r="H2" s="26" t="s">
        <v>249</v>
      </c>
      <c r="I2" s="26" t="s">
        <v>250</v>
      </c>
      <c r="J2" s="26" t="s">
        <v>14</v>
      </c>
      <c r="K2" s="26" t="s">
        <v>251</v>
      </c>
      <c r="L2" s="26" t="s">
        <v>252</v>
      </c>
      <c r="M2" s="26" t="s">
        <v>253</v>
      </c>
      <c r="N2" s="26" t="s">
        <v>254</v>
      </c>
      <c r="O2" s="26" t="s">
        <v>255</v>
      </c>
      <c r="P2" s="26" t="s">
        <v>263</v>
      </c>
      <c r="Q2" s="26" t="s">
        <v>252</v>
      </c>
      <c r="R2" s="26" t="s">
        <v>253</v>
      </c>
      <c r="S2" s="26" t="s">
        <v>254</v>
      </c>
      <c r="T2" s="26" t="s">
        <v>255</v>
      </c>
      <c r="U2" s="26" t="s">
        <v>251</v>
      </c>
      <c r="V2" s="26" t="s">
        <v>14</v>
      </c>
      <c r="W2" s="26" t="s">
        <v>250</v>
      </c>
      <c r="X2" s="26" t="s">
        <v>249</v>
      </c>
      <c r="Y2" s="31" t="s">
        <v>248</v>
      </c>
      <c r="Z2" s="32" t="s">
        <v>47</v>
      </c>
      <c r="AA2" s="32" t="s">
        <v>262</v>
      </c>
      <c r="AB2" s="32" t="s">
        <v>261</v>
      </c>
      <c r="AC2" s="32" t="s">
        <v>260</v>
      </c>
      <c r="AD2" s="32" t="s">
        <v>259</v>
      </c>
      <c r="AE2" s="29" t="s">
        <v>247</v>
      </c>
    </row>
    <row r="3" spans="1:31" x14ac:dyDescent="0.25">
      <c r="A3" s="33">
        <v>0.99</v>
      </c>
      <c r="B3" s="33">
        <v>1E-4</v>
      </c>
      <c r="C3" s="33">
        <v>-22.18</v>
      </c>
      <c r="D3" s="33">
        <v>0.45</v>
      </c>
      <c r="E3" s="33">
        <v>4.3999999999999997E-2</v>
      </c>
      <c r="F3" s="33">
        <v>32</v>
      </c>
      <c r="G3" s="33">
        <v>32</v>
      </c>
      <c r="H3" s="33">
        <v>13</v>
      </c>
      <c r="I3" s="33">
        <v>24.68</v>
      </c>
      <c r="J3" s="33">
        <v>964.65</v>
      </c>
      <c r="K3" s="33">
        <v>3.51</v>
      </c>
      <c r="L3" s="33" t="s">
        <v>22</v>
      </c>
      <c r="M3" s="33">
        <v>959.45</v>
      </c>
      <c r="N3" s="33">
        <v>965</v>
      </c>
      <c r="O3" s="33" t="s">
        <v>22</v>
      </c>
      <c r="P3" s="34">
        <v>65100</v>
      </c>
      <c r="Q3" s="33" t="s">
        <v>22</v>
      </c>
      <c r="R3" s="33">
        <v>1.4</v>
      </c>
      <c r="S3" s="33">
        <v>1.45</v>
      </c>
      <c r="T3" s="33" t="s">
        <v>22</v>
      </c>
      <c r="U3" s="33">
        <v>-53.33</v>
      </c>
      <c r="V3" s="33">
        <v>1.4</v>
      </c>
      <c r="W3" s="33">
        <v>24.68</v>
      </c>
      <c r="X3" s="33">
        <v>63513</v>
      </c>
      <c r="Y3" s="33">
        <v>28396</v>
      </c>
      <c r="Z3" s="33">
        <v>28396</v>
      </c>
      <c r="AA3" s="33">
        <v>0</v>
      </c>
      <c r="AB3" s="33">
        <v>0.45</v>
      </c>
      <c r="AC3" s="33">
        <v>-22.18</v>
      </c>
      <c r="AD3" s="33">
        <v>1E-4</v>
      </c>
      <c r="AE3" s="33">
        <v>-0.01</v>
      </c>
    </row>
    <row r="4" spans="1:31" x14ac:dyDescent="0.25">
      <c r="A4" s="33">
        <v>0.99</v>
      </c>
      <c r="B4" s="33">
        <v>1E-4</v>
      </c>
      <c r="C4" s="33">
        <v>-21.73</v>
      </c>
      <c r="D4" s="33">
        <v>0.48</v>
      </c>
      <c r="E4" s="33">
        <v>4.3999999999999997E-2</v>
      </c>
      <c r="F4" s="33">
        <v>164</v>
      </c>
      <c r="G4" s="33">
        <v>164</v>
      </c>
      <c r="H4" s="33">
        <v>194</v>
      </c>
      <c r="I4" s="33">
        <v>22.46</v>
      </c>
      <c r="J4" s="33">
        <v>856.9</v>
      </c>
      <c r="K4" s="33">
        <v>-5.99</v>
      </c>
      <c r="L4" s="33" t="s">
        <v>22</v>
      </c>
      <c r="M4" s="33">
        <v>856.55</v>
      </c>
      <c r="N4" s="33">
        <v>866.3</v>
      </c>
      <c r="O4" s="33" t="s">
        <v>22</v>
      </c>
      <c r="P4" s="34">
        <v>65200</v>
      </c>
      <c r="Q4" s="33" t="s">
        <v>22</v>
      </c>
      <c r="R4" s="33">
        <v>1.4</v>
      </c>
      <c r="S4" s="33">
        <v>1.45</v>
      </c>
      <c r="T4" s="33" t="s">
        <v>22</v>
      </c>
      <c r="U4" s="33">
        <v>-59.42</v>
      </c>
      <c r="V4" s="33">
        <v>1.4</v>
      </c>
      <c r="W4" s="33">
        <v>22.46</v>
      </c>
      <c r="X4" s="33">
        <v>142703</v>
      </c>
      <c r="Y4" s="33">
        <v>63869</v>
      </c>
      <c r="Z4" s="33">
        <v>63869</v>
      </c>
      <c r="AA4" s="33">
        <v>0</v>
      </c>
      <c r="AB4" s="33">
        <v>0.48</v>
      </c>
      <c r="AC4" s="33">
        <v>-21.73</v>
      </c>
      <c r="AD4" s="33">
        <v>1E-4</v>
      </c>
      <c r="AE4" s="33">
        <v>-0.01</v>
      </c>
    </row>
    <row r="5" spans="1:31" x14ac:dyDescent="0.25">
      <c r="A5" s="33">
        <v>0.99</v>
      </c>
      <c r="B5" s="33">
        <v>1E-4</v>
      </c>
      <c r="C5" s="33">
        <v>-26.57</v>
      </c>
      <c r="D5" s="33">
        <v>0.63</v>
      </c>
      <c r="E5" s="33">
        <v>4.3999999999999997E-2</v>
      </c>
      <c r="F5" s="33">
        <v>79</v>
      </c>
      <c r="G5" s="33">
        <v>79</v>
      </c>
      <c r="H5" s="33">
        <v>495</v>
      </c>
      <c r="I5" s="33">
        <v>20.99</v>
      </c>
      <c r="J5" s="33">
        <v>759.8</v>
      </c>
      <c r="K5" s="33">
        <v>-5.79</v>
      </c>
      <c r="L5" s="33" t="s">
        <v>22</v>
      </c>
      <c r="M5" s="33">
        <v>759.8</v>
      </c>
      <c r="N5" s="33">
        <v>764.4</v>
      </c>
      <c r="O5" s="33" t="s">
        <v>22</v>
      </c>
      <c r="P5" s="34">
        <v>65300</v>
      </c>
      <c r="Q5" s="33" t="s">
        <v>22</v>
      </c>
      <c r="R5" s="33">
        <v>1.8</v>
      </c>
      <c r="S5" s="33">
        <v>1.85</v>
      </c>
      <c r="T5" s="33" t="s">
        <v>22</v>
      </c>
      <c r="U5" s="33">
        <v>-56.98</v>
      </c>
      <c r="V5" s="33">
        <v>1.85</v>
      </c>
      <c r="W5" s="33">
        <v>20.99</v>
      </c>
      <c r="X5" s="33">
        <v>132513</v>
      </c>
      <c r="Y5" s="33">
        <v>50365</v>
      </c>
      <c r="Z5" s="33">
        <v>50365</v>
      </c>
      <c r="AA5" s="33">
        <v>-1E-3</v>
      </c>
      <c r="AB5" s="33">
        <v>0.63</v>
      </c>
      <c r="AC5" s="33">
        <v>-26.57</v>
      </c>
      <c r="AD5" s="33">
        <v>1E-4</v>
      </c>
      <c r="AE5" s="33">
        <v>-0.01</v>
      </c>
    </row>
    <row r="6" spans="1:31" x14ac:dyDescent="0.25">
      <c r="A6" s="33">
        <v>0.98</v>
      </c>
      <c r="B6" s="33">
        <v>2.0000000000000001E-4</v>
      </c>
      <c r="C6" s="33">
        <v>-34.86</v>
      </c>
      <c r="D6" s="33">
        <v>0.88</v>
      </c>
      <c r="E6" s="33">
        <v>4.3999999999999997E-2</v>
      </c>
      <c r="F6" s="33">
        <v>48</v>
      </c>
      <c r="G6" s="33">
        <v>48</v>
      </c>
      <c r="H6" s="33">
        <v>459</v>
      </c>
      <c r="I6" s="33">
        <v>19.739999999999998</v>
      </c>
      <c r="J6" s="33">
        <v>660.35</v>
      </c>
      <c r="K6" s="33">
        <v>-6.84</v>
      </c>
      <c r="L6" s="33" t="s">
        <v>22</v>
      </c>
      <c r="M6" s="33">
        <v>661</v>
      </c>
      <c r="N6" s="33">
        <v>664.85</v>
      </c>
      <c r="O6" s="33" t="s">
        <v>22</v>
      </c>
      <c r="P6" s="34">
        <v>65400</v>
      </c>
      <c r="Q6" s="33" t="s">
        <v>22</v>
      </c>
      <c r="R6" s="33">
        <v>2.7</v>
      </c>
      <c r="S6" s="33">
        <v>2.75</v>
      </c>
      <c r="T6" s="33" t="s">
        <v>22</v>
      </c>
      <c r="U6" s="33">
        <v>-52.63</v>
      </c>
      <c r="V6" s="33">
        <v>2.7</v>
      </c>
      <c r="W6" s="33">
        <v>19.739999999999998</v>
      </c>
      <c r="X6" s="33">
        <v>144695</v>
      </c>
      <c r="Y6" s="33">
        <v>40285</v>
      </c>
      <c r="Z6" s="33">
        <v>40285</v>
      </c>
      <c r="AA6" s="33">
        <v>-1E-3</v>
      </c>
      <c r="AB6" s="33">
        <v>0.88</v>
      </c>
      <c r="AC6" s="33">
        <v>-34.86</v>
      </c>
      <c r="AD6" s="33">
        <v>2.0000000000000001E-4</v>
      </c>
      <c r="AE6" s="33">
        <v>-0.02</v>
      </c>
    </row>
    <row r="7" spans="1:31" x14ac:dyDescent="0.25">
      <c r="A7" s="33">
        <v>0.97</v>
      </c>
      <c r="B7" s="33">
        <v>2.0000000000000001E-4</v>
      </c>
      <c r="C7" s="33">
        <v>-44.34</v>
      </c>
      <c r="D7" s="33">
        <v>1.21</v>
      </c>
      <c r="E7" s="33">
        <v>4.3999999999999997E-2</v>
      </c>
      <c r="F7" s="33">
        <v>822</v>
      </c>
      <c r="G7" s="33">
        <v>822</v>
      </c>
      <c r="H7" s="33">
        <v>1796</v>
      </c>
      <c r="I7" s="33">
        <v>18.309999999999999</v>
      </c>
      <c r="J7" s="33">
        <v>564</v>
      </c>
      <c r="K7" s="33">
        <v>-7.96</v>
      </c>
      <c r="L7" s="33" t="s">
        <v>22</v>
      </c>
      <c r="M7" s="33">
        <v>562.75</v>
      </c>
      <c r="N7" s="33">
        <v>564.95000000000005</v>
      </c>
      <c r="O7" s="33" t="s">
        <v>22</v>
      </c>
      <c r="P7" s="34">
        <v>65500</v>
      </c>
      <c r="Q7" s="33" t="s">
        <v>22</v>
      </c>
      <c r="R7" s="33">
        <v>3.8</v>
      </c>
      <c r="S7" s="33">
        <v>3.85</v>
      </c>
      <c r="T7" s="33" t="s">
        <v>22</v>
      </c>
      <c r="U7" s="33">
        <v>-54.17</v>
      </c>
      <c r="V7" s="33">
        <v>3.85</v>
      </c>
      <c r="W7" s="33">
        <v>18.309999999999999</v>
      </c>
      <c r="X7" s="33">
        <v>273578</v>
      </c>
      <c r="Y7" s="33">
        <v>76014</v>
      </c>
      <c r="Z7" s="33">
        <v>76014</v>
      </c>
      <c r="AA7" s="33">
        <v>-1E-3</v>
      </c>
      <c r="AB7" s="33">
        <v>1.21</v>
      </c>
      <c r="AC7" s="33">
        <v>-44.34</v>
      </c>
      <c r="AD7" s="33">
        <v>2.0000000000000001E-4</v>
      </c>
      <c r="AE7" s="33">
        <v>-0.03</v>
      </c>
    </row>
    <row r="8" spans="1:31" x14ac:dyDescent="0.25">
      <c r="A8" s="33">
        <v>0.95</v>
      </c>
      <c r="B8" s="33">
        <v>2.9999999999999997E-4</v>
      </c>
      <c r="C8" s="33">
        <v>-57.47</v>
      </c>
      <c r="D8" s="33">
        <v>1.71</v>
      </c>
      <c r="E8" s="33">
        <v>4.3999999999999997E-2</v>
      </c>
      <c r="F8" s="33">
        <v>569</v>
      </c>
      <c r="G8" s="33">
        <v>569</v>
      </c>
      <c r="H8" s="33">
        <v>2035</v>
      </c>
      <c r="I8" s="33">
        <v>16.91</v>
      </c>
      <c r="J8" s="33">
        <v>464.45</v>
      </c>
      <c r="K8" s="33">
        <v>-9.9600000000000009</v>
      </c>
      <c r="L8" s="33" t="s">
        <v>22</v>
      </c>
      <c r="M8" s="33">
        <v>464.55</v>
      </c>
      <c r="N8" s="33">
        <v>466.45</v>
      </c>
      <c r="O8" s="33" t="s">
        <v>22</v>
      </c>
      <c r="P8" s="34">
        <v>65600</v>
      </c>
      <c r="Q8" s="33" t="s">
        <v>22</v>
      </c>
      <c r="R8" s="33">
        <v>5.75</v>
      </c>
      <c r="S8" s="33">
        <v>5.8</v>
      </c>
      <c r="T8" s="33" t="s">
        <v>22</v>
      </c>
      <c r="U8" s="33">
        <v>-58.03</v>
      </c>
      <c r="V8" s="33">
        <v>5.75</v>
      </c>
      <c r="W8" s="33">
        <v>16.91</v>
      </c>
      <c r="X8" s="33">
        <v>299343</v>
      </c>
      <c r="Y8" s="33">
        <v>61542</v>
      </c>
      <c r="Z8" s="33">
        <v>61542</v>
      </c>
      <c r="AA8" s="33">
        <v>-2E-3</v>
      </c>
      <c r="AB8" s="33">
        <v>1.71</v>
      </c>
      <c r="AC8" s="33">
        <v>-57.47</v>
      </c>
      <c r="AD8" s="33">
        <v>2.9999999999999997E-4</v>
      </c>
      <c r="AE8" s="33">
        <v>-0.05</v>
      </c>
    </row>
    <row r="9" spans="1:31" x14ac:dyDescent="0.25">
      <c r="A9" s="33">
        <v>0.92</v>
      </c>
      <c r="B9" s="33">
        <v>5.0000000000000001E-4</v>
      </c>
      <c r="C9" s="33">
        <v>-81.78</v>
      </c>
      <c r="D9" s="33">
        <v>2.58</v>
      </c>
      <c r="E9" s="33">
        <v>4.4999999999999998E-2</v>
      </c>
      <c r="F9" s="33">
        <v>1018</v>
      </c>
      <c r="G9" s="33">
        <v>1018</v>
      </c>
      <c r="H9" s="33">
        <v>3216</v>
      </c>
      <c r="I9" s="33">
        <v>15.98</v>
      </c>
      <c r="J9" s="33">
        <v>370</v>
      </c>
      <c r="K9" s="33">
        <v>-12.96</v>
      </c>
      <c r="L9" s="33" t="s">
        <v>22</v>
      </c>
      <c r="M9" s="33">
        <v>369.15</v>
      </c>
      <c r="N9" s="33">
        <v>370.95</v>
      </c>
      <c r="O9" s="33" t="s">
        <v>22</v>
      </c>
      <c r="P9" s="34">
        <v>65700</v>
      </c>
      <c r="Q9" s="33" t="s">
        <v>22</v>
      </c>
      <c r="R9" s="33">
        <v>10.1</v>
      </c>
      <c r="S9" s="33">
        <v>10.15</v>
      </c>
      <c r="T9" s="33" t="s">
        <v>22</v>
      </c>
      <c r="U9" s="33">
        <v>-53.24</v>
      </c>
      <c r="V9" s="33">
        <v>10.1</v>
      </c>
      <c r="W9" s="33">
        <v>15.98</v>
      </c>
      <c r="X9" s="33">
        <v>399140</v>
      </c>
      <c r="Y9" s="33">
        <v>76488</v>
      </c>
      <c r="Z9" s="33">
        <v>76488</v>
      </c>
      <c r="AA9" s="33">
        <v>-4.0000000000000001E-3</v>
      </c>
      <c r="AB9" s="33">
        <v>2.58</v>
      </c>
      <c r="AC9" s="33">
        <v>-81.78</v>
      </c>
      <c r="AD9" s="33">
        <v>5.0000000000000001E-4</v>
      </c>
      <c r="AE9" s="33">
        <v>-0.08</v>
      </c>
    </row>
    <row r="10" spans="1:31" x14ac:dyDescent="0.25">
      <c r="A10" s="33">
        <v>0.86</v>
      </c>
      <c r="B10" s="33">
        <v>8.0000000000000004E-4</v>
      </c>
      <c r="C10" s="33">
        <v>-119.7</v>
      </c>
      <c r="D10" s="33">
        <v>3.9</v>
      </c>
      <c r="E10" s="33">
        <v>4.4999999999999998E-2</v>
      </c>
      <c r="F10" s="33">
        <v>4937</v>
      </c>
      <c r="G10" s="33">
        <v>4937</v>
      </c>
      <c r="H10" s="33">
        <v>18092</v>
      </c>
      <c r="I10" s="33">
        <v>15.53</v>
      </c>
      <c r="J10" s="33">
        <v>280</v>
      </c>
      <c r="K10" s="33">
        <v>-17.43</v>
      </c>
      <c r="L10" s="33" t="s">
        <v>22</v>
      </c>
      <c r="M10" s="33">
        <v>279.7</v>
      </c>
      <c r="N10" s="33">
        <v>280.39999999999998</v>
      </c>
      <c r="O10" s="33" t="s">
        <v>22</v>
      </c>
      <c r="P10" s="34">
        <v>65800</v>
      </c>
      <c r="Q10" s="33" t="s">
        <v>22</v>
      </c>
      <c r="R10" s="33">
        <v>19.7</v>
      </c>
      <c r="S10" s="33">
        <v>19.8</v>
      </c>
      <c r="T10" s="33" t="s">
        <v>22</v>
      </c>
      <c r="U10" s="33">
        <v>-44.43</v>
      </c>
      <c r="V10" s="33">
        <v>19.7</v>
      </c>
      <c r="W10" s="33">
        <v>15.53</v>
      </c>
      <c r="X10" s="33">
        <v>508009</v>
      </c>
      <c r="Y10" s="33">
        <v>113349</v>
      </c>
      <c r="Z10" s="33">
        <v>113349</v>
      </c>
      <c r="AA10" s="33">
        <v>-6.0000000000000001E-3</v>
      </c>
      <c r="AB10" s="33">
        <v>3.9</v>
      </c>
      <c r="AC10" s="33">
        <v>-119.7</v>
      </c>
      <c r="AD10" s="33">
        <v>8.0000000000000004E-4</v>
      </c>
      <c r="AE10" s="33">
        <v>-0.14000000000000001</v>
      </c>
    </row>
    <row r="11" spans="1:31" x14ac:dyDescent="0.25">
      <c r="A11" s="33">
        <v>0.76</v>
      </c>
      <c r="B11" s="33">
        <v>1.1999999999999999E-3</v>
      </c>
      <c r="C11" s="33">
        <v>-160.53</v>
      </c>
      <c r="D11" s="33">
        <v>5.36</v>
      </c>
      <c r="E11" s="33">
        <v>3.7999999999999999E-2</v>
      </c>
      <c r="F11" s="33">
        <v>11662</v>
      </c>
      <c r="G11" s="33">
        <v>11662</v>
      </c>
      <c r="H11" s="33">
        <v>59737</v>
      </c>
      <c r="I11" s="33">
        <v>15.21</v>
      </c>
      <c r="J11" s="33">
        <v>196.65</v>
      </c>
      <c r="K11" s="33">
        <v>-24.03</v>
      </c>
      <c r="L11" s="33" t="s">
        <v>22</v>
      </c>
      <c r="M11" s="33">
        <v>196.75</v>
      </c>
      <c r="N11" s="33">
        <v>197.2</v>
      </c>
      <c r="O11" s="33" t="s">
        <v>22</v>
      </c>
      <c r="P11" s="34">
        <v>65900</v>
      </c>
      <c r="Q11" s="33" t="s">
        <v>22</v>
      </c>
      <c r="R11" s="33">
        <v>37.25</v>
      </c>
      <c r="S11" s="33">
        <v>37.4</v>
      </c>
      <c r="T11" s="33" t="s">
        <v>22</v>
      </c>
      <c r="U11" s="33">
        <v>-32.43</v>
      </c>
      <c r="V11" s="33">
        <v>37.299999999999997</v>
      </c>
      <c r="W11" s="33">
        <v>15.21</v>
      </c>
      <c r="X11" s="33">
        <v>378202</v>
      </c>
      <c r="Y11" s="33">
        <v>77215</v>
      </c>
      <c r="Z11" s="33">
        <v>77215</v>
      </c>
      <c r="AA11" s="33">
        <v>-1.0999999999999999E-2</v>
      </c>
      <c r="AB11" s="33">
        <v>5.36</v>
      </c>
      <c r="AC11" s="33">
        <v>-160.53</v>
      </c>
      <c r="AD11" s="33">
        <v>1.1999999999999999E-3</v>
      </c>
      <c r="AE11" s="33">
        <v>-0.24</v>
      </c>
    </row>
    <row r="12" spans="1:31" x14ac:dyDescent="0.25">
      <c r="A12" s="33">
        <v>0.63</v>
      </c>
      <c r="B12" s="33">
        <v>1.5E-3</v>
      </c>
      <c r="C12" s="33">
        <v>-191.49</v>
      </c>
      <c r="D12" s="33">
        <v>6.51</v>
      </c>
      <c r="E12" s="33">
        <v>0.03</v>
      </c>
      <c r="F12" s="33">
        <v>70387</v>
      </c>
      <c r="G12" s="33">
        <v>70387</v>
      </c>
      <c r="H12" s="33">
        <v>347991</v>
      </c>
      <c r="I12" s="33">
        <v>15.05</v>
      </c>
      <c r="J12" s="33">
        <v>126.9</v>
      </c>
      <c r="K12" s="33">
        <v>-32.32</v>
      </c>
      <c r="L12" s="33" t="s">
        <v>22</v>
      </c>
      <c r="M12" s="33">
        <v>126.6</v>
      </c>
      <c r="N12" s="33">
        <v>126.9</v>
      </c>
      <c r="O12" s="33" t="s">
        <v>22</v>
      </c>
      <c r="P12" s="34">
        <v>66000</v>
      </c>
      <c r="Q12" s="33" t="s">
        <v>22</v>
      </c>
      <c r="R12" s="33">
        <v>66.75</v>
      </c>
      <c r="S12" s="33">
        <v>67</v>
      </c>
      <c r="T12" s="33" t="s">
        <v>22</v>
      </c>
      <c r="U12" s="33">
        <v>-20.14</v>
      </c>
      <c r="V12" s="33">
        <v>67</v>
      </c>
      <c r="W12" s="33">
        <v>15.05</v>
      </c>
      <c r="X12" s="33">
        <v>583252</v>
      </c>
      <c r="Y12" s="33">
        <v>127645</v>
      </c>
      <c r="Z12" s="33">
        <v>127645</v>
      </c>
      <c r="AA12" s="33">
        <v>-1.7000000000000001E-2</v>
      </c>
      <c r="AB12" s="33">
        <v>6.51</v>
      </c>
      <c r="AC12" s="33">
        <v>-191.49</v>
      </c>
      <c r="AD12" s="33">
        <v>1.5E-3</v>
      </c>
      <c r="AE12" s="33">
        <v>-0.37</v>
      </c>
    </row>
    <row r="13" spans="1:31" x14ac:dyDescent="0.25">
      <c r="A13" s="34">
        <v>0.47</v>
      </c>
      <c r="B13" s="34">
        <v>2E-3</v>
      </c>
      <c r="C13" s="34">
        <v>-150.16</v>
      </c>
      <c r="D13" s="34">
        <v>6.84</v>
      </c>
      <c r="E13" s="34">
        <v>2.1000000000000001E-2</v>
      </c>
      <c r="F13" s="34">
        <v>117730</v>
      </c>
      <c r="G13" s="34">
        <v>117730</v>
      </c>
      <c r="H13" s="34">
        <v>520347</v>
      </c>
      <c r="I13" s="34">
        <v>11.56</v>
      </c>
      <c r="J13" s="34">
        <v>71.099999999999994</v>
      </c>
      <c r="K13" s="34">
        <v>-45.43</v>
      </c>
      <c r="L13" s="34" t="s">
        <v>22</v>
      </c>
      <c r="M13" s="34">
        <v>70.849999999999994</v>
      </c>
      <c r="N13" s="34">
        <v>71.05</v>
      </c>
      <c r="O13" s="34" t="s">
        <v>22</v>
      </c>
      <c r="P13" s="34">
        <v>66100</v>
      </c>
      <c r="Q13" s="34" t="s">
        <v>22</v>
      </c>
      <c r="R13" s="34">
        <v>111</v>
      </c>
      <c r="S13" s="34">
        <v>111.2</v>
      </c>
      <c r="T13" s="34" t="s">
        <v>22</v>
      </c>
      <c r="U13" s="34">
        <v>-11.9</v>
      </c>
      <c r="V13" s="34">
        <v>111</v>
      </c>
      <c r="W13" s="34">
        <v>11.56</v>
      </c>
      <c r="X13" s="34">
        <v>257623</v>
      </c>
      <c r="Y13" s="34">
        <v>62766</v>
      </c>
      <c r="Z13" s="34">
        <v>62766</v>
      </c>
      <c r="AA13" s="34">
        <v>-2.4E-2</v>
      </c>
      <c r="AB13" s="34">
        <v>6.84</v>
      </c>
      <c r="AC13" s="34">
        <v>-150.16</v>
      </c>
      <c r="AD13" s="34">
        <v>2E-3</v>
      </c>
      <c r="AE13" s="34">
        <v>-0.53</v>
      </c>
    </row>
    <row r="14" spans="1:31" x14ac:dyDescent="0.25">
      <c r="A14" s="33">
        <v>0.28000000000000003</v>
      </c>
      <c r="B14" s="33">
        <v>1.6999999999999999E-3</v>
      </c>
      <c r="C14" s="33">
        <v>-127.82</v>
      </c>
      <c r="D14" s="33">
        <v>5.84</v>
      </c>
      <c r="E14" s="33">
        <v>1.2999999999999999E-2</v>
      </c>
      <c r="F14" s="33">
        <v>97590</v>
      </c>
      <c r="G14" s="33">
        <v>97590</v>
      </c>
      <c r="H14" s="33">
        <v>526643</v>
      </c>
      <c r="I14" s="33">
        <v>11.93</v>
      </c>
      <c r="J14" s="33">
        <v>36.35</v>
      </c>
      <c r="K14" s="33">
        <v>-57.11</v>
      </c>
      <c r="L14" s="33" t="s">
        <v>22</v>
      </c>
      <c r="M14" s="33">
        <v>36.25</v>
      </c>
      <c r="N14" s="33">
        <v>36.35</v>
      </c>
      <c r="O14" s="33" t="s">
        <v>22</v>
      </c>
      <c r="P14" s="34">
        <v>66200</v>
      </c>
      <c r="Q14" s="33" t="s">
        <v>22</v>
      </c>
      <c r="R14" s="33">
        <v>176.5</v>
      </c>
      <c r="S14" s="33">
        <v>177</v>
      </c>
      <c r="T14" s="33" t="s">
        <v>22</v>
      </c>
      <c r="U14" s="33">
        <v>-1.92</v>
      </c>
      <c r="V14" s="33">
        <v>176.2</v>
      </c>
      <c r="W14" s="33">
        <v>11.93</v>
      </c>
      <c r="X14" s="33">
        <v>79611</v>
      </c>
      <c r="Y14" s="33">
        <v>17454</v>
      </c>
      <c r="Z14" s="33">
        <v>17454</v>
      </c>
      <c r="AA14" s="33">
        <v>-0.03</v>
      </c>
      <c r="AB14" s="33">
        <v>5.84</v>
      </c>
      <c r="AC14" s="33">
        <v>-127.82</v>
      </c>
      <c r="AD14" s="33">
        <v>1.6999999999999999E-3</v>
      </c>
      <c r="AE14" s="33">
        <v>-0.72</v>
      </c>
    </row>
    <row r="15" spans="1:31" x14ac:dyDescent="0.25">
      <c r="A15" s="33">
        <v>0.16</v>
      </c>
      <c r="B15" s="33">
        <v>1.1000000000000001E-3</v>
      </c>
      <c r="C15" s="33">
        <v>-89.33</v>
      </c>
      <c r="D15" s="33">
        <v>4.1399999999999997</v>
      </c>
      <c r="E15" s="33">
        <v>7.0000000000000001E-3</v>
      </c>
      <c r="F15" s="33">
        <v>90631</v>
      </c>
      <c r="G15" s="33">
        <v>90631</v>
      </c>
      <c r="H15" s="33">
        <v>608319</v>
      </c>
      <c r="I15" s="33">
        <v>12.51</v>
      </c>
      <c r="J15" s="33">
        <v>17.7</v>
      </c>
      <c r="K15" s="33">
        <v>-65.33</v>
      </c>
      <c r="L15" s="33" t="s">
        <v>22</v>
      </c>
      <c r="M15" s="33">
        <v>17.600000000000001</v>
      </c>
      <c r="N15" s="33">
        <v>17.7</v>
      </c>
      <c r="O15" s="33" t="s">
        <v>22</v>
      </c>
      <c r="P15" s="34">
        <v>66300</v>
      </c>
      <c r="Q15" s="33" t="s">
        <v>22</v>
      </c>
      <c r="R15" s="33">
        <v>256.95</v>
      </c>
      <c r="S15" s="33">
        <v>258</v>
      </c>
      <c r="T15" s="33" t="s">
        <v>22</v>
      </c>
      <c r="U15" s="33">
        <v>3.33</v>
      </c>
      <c r="V15" s="33">
        <v>256.14999999999998</v>
      </c>
      <c r="W15" s="33">
        <v>12.51</v>
      </c>
      <c r="X15" s="33">
        <v>25287</v>
      </c>
      <c r="Y15" s="33">
        <v>4956</v>
      </c>
      <c r="Z15" s="33">
        <v>4956</v>
      </c>
      <c r="AA15" s="33">
        <v>-3.5000000000000003E-2</v>
      </c>
      <c r="AB15" s="33">
        <v>4.1399999999999997</v>
      </c>
      <c r="AC15" s="33">
        <v>-89.33</v>
      </c>
      <c r="AD15" s="33">
        <v>1.1000000000000001E-3</v>
      </c>
      <c r="AE15" s="33">
        <v>-0.84</v>
      </c>
    </row>
    <row r="16" spans="1:31" x14ac:dyDescent="0.25">
      <c r="A16" s="33">
        <v>0.08</v>
      </c>
      <c r="B16" s="33">
        <v>6.9999999999999999E-4</v>
      </c>
      <c r="C16" s="33">
        <v>-52.43</v>
      </c>
      <c r="D16" s="33">
        <v>2.6</v>
      </c>
      <c r="E16" s="33">
        <v>4.0000000000000001E-3</v>
      </c>
      <c r="F16" s="33">
        <v>89156</v>
      </c>
      <c r="G16" s="33">
        <v>89156</v>
      </c>
      <c r="H16" s="33">
        <v>572089</v>
      </c>
      <c r="I16" s="33">
        <v>13.17</v>
      </c>
      <c r="J16" s="33">
        <v>8.4</v>
      </c>
      <c r="K16" s="33">
        <v>-70.42</v>
      </c>
      <c r="L16" s="33" t="s">
        <v>22</v>
      </c>
      <c r="M16" s="33">
        <v>8.4</v>
      </c>
      <c r="N16" s="33">
        <v>8.5</v>
      </c>
      <c r="O16" s="33" t="s">
        <v>22</v>
      </c>
      <c r="P16" s="34">
        <v>66400</v>
      </c>
      <c r="Q16" s="33" t="s">
        <v>22</v>
      </c>
      <c r="R16" s="33">
        <v>348.35</v>
      </c>
      <c r="S16" s="33">
        <v>349.8</v>
      </c>
      <c r="T16" s="33" t="s">
        <v>22</v>
      </c>
      <c r="U16" s="33">
        <v>7.8</v>
      </c>
      <c r="V16" s="33">
        <v>349.6</v>
      </c>
      <c r="W16" s="33">
        <v>13.17</v>
      </c>
      <c r="X16" s="33">
        <v>5505</v>
      </c>
      <c r="Y16" s="33">
        <v>1711</v>
      </c>
      <c r="Z16" s="33">
        <v>1711</v>
      </c>
      <c r="AA16" s="33">
        <v>-3.6999999999999998E-2</v>
      </c>
      <c r="AB16" s="33">
        <v>2.6</v>
      </c>
      <c r="AC16" s="33">
        <v>-52.43</v>
      </c>
      <c r="AD16" s="33">
        <v>6.9999999999999999E-4</v>
      </c>
      <c r="AE16" s="33">
        <v>-0.92</v>
      </c>
    </row>
    <row r="17" spans="1:31" x14ac:dyDescent="0.25">
      <c r="A17" s="33">
        <v>0.04</v>
      </c>
      <c r="B17" s="33">
        <v>4.0000000000000002E-4</v>
      </c>
      <c r="C17" s="33">
        <v>-28.56</v>
      </c>
      <c r="D17" s="33">
        <v>1.6</v>
      </c>
      <c r="E17" s="33">
        <v>2E-3</v>
      </c>
      <c r="F17" s="33">
        <v>99263</v>
      </c>
      <c r="G17" s="33">
        <v>99263</v>
      </c>
      <c r="H17" s="33">
        <v>501351</v>
      </c>
      <c r="I17" s="33">
        <v>14.17</v>
      </c>
      <c r="J17" s="33">
        <v>4.4000000000000004</v>
      </c>
      <c r="K17" s="33">
        <v>-71.52</v>
      </c>
      <c r="L17" s="33" t="s">
        <v>22</v>
      </c>
      <c r="M17" s="33">
        <v>4.4000000000000004</v>
      </c>
      <c r="N17" s="33">
        <v>4.45</v>
      </c>
      <c r="O17" s="33" t="s">
        <v>22</v>
      </c>
      <c r="P17" s="34">
        <v>66500</v>
      </c>
      <c r="Q17" s="33" t="s">
        <v>22</v>
      </c>
      <c r="R17" s="33">
        <v>443.85</v>
      </c>
      <c r="S17" s="33">
        <v>445.85</v>
      </c>
      <c r="T17" s="33" t="s">
        <v>22</v>
      </c>
      <c r="U17" s="33">
        <v>9.19</v>
      </c>
      <c r="V17" s="33">
        <v>444.3</v>
      </c>
      <c r="W17" s="33">
        <v>14.17</v>
      </c>
      <c r="X17" s="33">
        <v>4913</v>
      </c>
      <c r="Y17" s="33">
        <v>3889</v>
      </c>
      <c r="Z17" s="33">
        <v>3889</v>
      </c>
      <c r="AA17" s="33">
        <v>-3.9E-2</v>
      </c>
      <c r="AB17" s="33">
        <v>1.6</v>
      </c>
      <c r="AC17" s="33">
        <v>-28.56</v>
      </c>
      <c r="AD17" s="33">
        <v>4.0000000000000002E-4</v>
      </c>
      <c r="AE17" s="33">
        <v>-0.96</v>
      </c>
    </row>
    <row r="18" spans="1:31" x14ac:dyDescent="0.25">
      <c r="A18" s="43">
        <v>0.03</v>
      </c>
      <c r="B18" s="43">
        <v>2.0000000000000001E-4</v>
      </c>
      <c r="C18" s="43">
        <v>-13.47</v>
      </c>
      <c r="D18" s="43">
        <v>1.01</v>
      </c>
      <c r="E18" s="43">
        <v>1E-3</v>
      </c>
      <c r="F18" s="43">
        <v>55546</v>
      </c>
      <c r="G18" s="43">
        <v>55546</v>
      </c>
      <c r="H18" s="43">
        <v>232953</v>
      </c>
      <c r="I18" s="43">
        <v>15.29</v>
      </c>
      <c r="J18" s="43">
        <v>2.5</v>
      </c>
      <c r="K18" s="43">
        <v>-69.510000000000005</v>
      </c>
      <c r="L18" s="43" t="s">
        <v>22</v>
      </c>
      <c r="M18" s="43">
        <v>2.4500000000000002</v>
      </c>
      <c r="N18" s="43">
        <v>2.5</v>
      </c>
      <c r="O18" s="43" t="s">
        <v>22</v>
      </c>
      <c r="P18" s="48">
        <v>66600</v>
      </c>
      <c r="Q18" s="43" t="s">
        <v>22</v>
      </c>
      <c r="R18" s="43">
        <v>542</v>
      </c>
      <c r="S18" s="43">
        <v>544.6</v>
      </c>
      <c r="T18" s="43" t="s">
        <v>22</v>
      </c>
      <c r="U18" s="43">
        <v>8.1300000000000008</v>
      </c>
      <c r="V18" s="43">
        <v>544.65</v>
      </c>
      <c r="W18" s="43">
        <v>15.29</v>
      </c>
      <c r="X18" s="43">
        <v>856</v>
      </c>
      <c r="Y18" s="43">
        <v>249</v>
      </c>
      <c r="Z18" s="43">
        <v>249</v>
      </c>
      <c r="AA18" s="43">
        <v>-0.04</v>
      </c>
      <c r="AB18" s="43">
        <v>1.01</v>
      </c>
      <c r="AC18" s="43">
        <v>-13.47</v>
      </c>
      <c r="AD18" s="43">
        <v>2.0000000000000001E-4</v>
      </c>
      <c r="AE18" s="43">
        <v>-0.97</v>
      </c>
    </row>
    <row r="19" spans="1:31" x14ac:dyDescent="0.25">
      <c r="A19" s="43">
        <v>0.02</v>
      </c>
      <c r="B19" s="43">
        <v>1E-4</v>
      </c>
      <c r="C19" s="43">
        <v>-5.37</v>
      </c>
      <c r="D19" s="43">
        <v>0.69</v>
      </c>
      <c r="E19" s="43">
        <v>1E-3</v>
      </c>
      <c r="F19" s="43">
        <v>78655</v>
      </c>
      <c r="G19" s="43">
        <v>78655</v>
      </c>
      <c r="H19" s="43">
        <v>215754</v>
      </c>
      <c r="I19" s="43">
        <v>16.66</v>
      </c>
      <c r="J19" s="43">
        <v>1.65</v>
      </c>
      <c r="K19" s="43">
        <v>-67.959999999999994</v>
      </c>
      <c r="L19" s="43" t="s">
        <v>22</v>
      </c>
      <c r="M19" s="43">
        <v>1.65</v>
      </c>
      <c r="N19" s="43">
        <v>1.7</v>
      </c>
      <c r="O19" s="43" t="s">
        <v>22</v>
      </c>
      <c r="P19" s="48">
        <v>66700</v>
      </c>
      <c r="Q19" s="43" t="s">
        <v>22</v>
      </c>
      <c r="R19" s="43">
        <v>639.5</v>
      </c>
      <c r="S19" s="43">
        <v>643.15</v>
      </c>
      <c r="T19" s="43" t="s">
        <v>22</v>
      </c>
      <c r="U19" s="43">
        <v>7.21</v>
      </c>
      <c r="V19" s="43">
        <v>642.95000000000005</v>
      </c>
      <c r="W19" s="43">
        <v>16.66</v>
      </c>
      <c r="X19" s="43">
        <v>409</v>
      </c>
      <c r="Y19" s="43">
        <v>138</v>
      </c>
      <c r="Z19" s="43">
        <v>138</v>
      </c>
      <c r="AA19" s="43">
        <v>-0.04</v>
      </c>
      <c r="AB19" s="43">
        <v>0.69</v>
      </c>
      <c r="AC19" s="43">
        <v>-5.37</v>
      </c>
      <c r="AD19" s="43">
        <v>1E-4</v>
      </c>
      <c r="AE19" s="43">
        <v>-0.98</v>
      </c>
    </row>
    <row r="20" spans="1:31" x14ac:dyDescent="0.25">
      <c r="A20" s="43">
        <v>0.01</v>
      </c>
      <c r="B20" s="43">
        <v>1E-4</v>
      </c>
      <c r="C20" s="43">
        <v>-0.5</v>
      </c>
      <c r="D20" s="43">
        <v>0.51</v>
      </c>
      <c r="E20" s="43">
        <v>1E-3</v>
      </c>
      <c r="F20" s="43">
        <v>80206</v>
      </c>
      <c r="G20" s="43">
        <v>80206</v>
      </c>
      <c r="H20" s="43">
        <v>179575</v>
      </c>
      <c r="I20" s="43">
        <v>18.149999999999999</v>
      </c>
      <c r="J20" s="43">
        <v>1.2</v>
      </c>
      <c r="K20" s="43">
        <v>-65.22</v>
      </c>
      <c r="L20" s="43" t="s">
        <v>22</v>
      </c>
      <c r="M20" s="43">
        <v>1.1499999999999999</v>
      </c>
      <c r="N20" s="43">
        <v>1.2</v>
      </c>
      <c r="O20" s="43" t="s">
        <v>22</v>
      </c>
      <c r="P20" s="48">
        <v>66800</v>
      </c>
      <c r="Q20" s="43" t="s">
        <v>22</v>
      </c>
      <c r="R20" s="43">
        <v>737.7</v>
      </c>
      <c r="S20" s="43">
        <v>745.2</v>
      </c>
      <c r="T20" s="43" t="s">
        <v>22</v>
      </c>
      <c r="U20" s="43" t="s">
        <v>22</v>
      </c>
      <c r="V20" s="43">
        <v>0</v>
      </c>
      <c r="W20" s="43">
        <v>18.149999999999999</v>
      </c>
      <c r="X20" s="43">
        <v>0</v>
      </c>
      <c r="Y20" s="43">
        <v>0</v>
      </c>
      <c r="Z20" s="43">
        <v>0</v>
      </c>
      <c r="AA20" s="43">
        <v>-4.4999999999999998E-2</v>
      </c>
      <c r="AB20" s="43">
        <v>0.51</v>
      </c>
      <c r="AC20" s="43">
        <v>-0.5</v>
      </c>
      <c r="AD20" s="43">
        <v>1E-4</v>
      </c>
      <c r="AE20" s="43">
        <v>-0.99</v>
      </c>
    </row>
    <row r="21" spans="1:31" x14ac:dyDescent="0.25">
      <c r="A21" s="43">
        <v>0.01</v>
      </c>
      <c r="B21" s="43">
        <v>1E-4</v>
      </c>
      <c r="C21" s="43">
        <v>0.41</v>
      </c>
      <c r="D21" s="43">
        <v>0.44</v>
      </c>
      <c r="E21" s="43">
        <v>0</v>
      </c>
      <c r="F21" s="43">
        <v>31845</v>
      </c>
      <c r="G21" s="43">
        <v>31845</v>
      </c>
      <c r="H21" s="43">
        <v>84608</v>
      </c>
      <c r="I21" s="43">
        <v>20.09</v>
      </c>
      <c r="J21" s="43">
        <v>1.1000000000000001</v>
      </c>
      <c r="K21" s="43">
        <v>-56.86</v>
      </c>
      <c r="L21" s="43" t="s">
        <v>22</v>
      </c>
      <c r="M21" s="43">
        <v>1.1000000000000001</v>
      </c>
      <c r="N21" s="43">
        <v>1.1499999999999999</v>
      </c>
      <c r="O21" s="43" t="s">
        <v>22</v>
      </c>
      <c r="P21" s="48">
        <v>66900</v>
      </c>
      <c r="Q21" s="43" t="s">
        <v>22</v>
      </c>
      <c r="R21" s="43">
        <v>837.75</v>
      </c>
      <c r="S21" s="43">
        <v>868.95</v>
      </c>
      <c r="T21" s="43" t="s">
        <v>22</v>
      </c>
      <c r="U21" s="43" t="s">
        <v>22</v>
      </c>
      <c r="V21" s="43">
        <v>0</v>
      </c>
      <c r="W21" s="43">
        <v>20.09</v>
      </c>
      <c r="X21" s="43">
        <v>0</v>
      </c>
      <c r="Y21" s="43">
        <v>0</v>
      </c>
      <c r="Z21" s="43">
        <v>0</v>
      </c>
      <c r="AA21" s="43">
        <v>-4.4999999999999998E-2</v>
      </c>
      <c r="AB21" s="43">
        <v>0.44</v>
      </c>
      <c r="AC21" s="43">
        <v>0.41</v>
      </c>
      <c r="AD21" s="43">
        <v>1E-4</v>
      </c>
      <c r="AE21" s="43">
        <v>-0.99</v>
      </c>
    </row>
    <row r="22" spans="1:31" x14ac:dyDescent="0.25">
      <c r="A22" s="43">
        <v>0.01</v>
      </c>
      <c r="B22" s="43">
        <v>1E-4</v>
      </c>
      <c r="C22" s="43">
        <v>0.76</v>
      </c>
      <c r="D22" s="43">
        <v>0.39</v>
      </c>
      <c r="E22" s="43">
        <v>0</v>
      </c>
      <c r="F22" s="43">
        <v>136456</v>
      </c>
      <c r="G22" s="43">
        <v>136456</v>
      </c>
      <c r="H22" s="43">
        <v>274854</v>
      </c>
      <c r="I22" s="43">
        <v>22.09</v>
      </c>
      <c r="J22" s="43">
        <v>1.05</v>
      </c>
      <c r="K22" s="43">
        <v>-53.33</v>
      </c>
      <c r="L22" s="43" t="s">
        <v>22</v>
      </c>
      <c r="M22" s="43">
        <v>1.05</v>
      </c>
      <c r="N22" s="43">
        <v>1.1000000000000001</v>
      </c>
      <c r="O22" s="43" t="s">
        <v>22</v>
      </c>
      <c r="P22" s="48">
        <v>67000</v>
      </c>
      <c r="Q22" s="43" t="s">
        <v>22</v>
      </c>
      <c r="R22" s="43">
        <v>937.4</v>
      </c>
      <c r="S22" s="43">
        <v>945.05</v>
      </c>
      <c r="T22" s="43" t="s">
        <v>22</v>
      </c>
      <c r="U22" s="43">
        <v>5.01</v>
      </c>
      <c r="V22" s="43">
        <v>935.5</v>
      </c>
      <c r="W22" s="43">
        <v>22.09</v>
      </c>
      <c r="X22" s="43">
        <v>8</v>
      </c>
      <c r="Y22" s="43">
        <v>27</v>
      </c>
      <c r="Z22" s="43">
        <v>27</v>
      </c>
      <c r="AA22" s="43">
        <v>-4.2000000000000003E-2</v>
      </c>
      <c r="AB22" s="43">
        <v>0.39</v>
      </c>
      <c r="AC22" s="43">
        <v>0.76</v>
      </c>
      <c r="AD22" s="43">
        <v>1E-4</v>
      </c>
      <c r="AE22" s="43">
        <v>-0.99</v>
      </c>
    </row>
    <row r="23" spans="1:31" x14ac:dyDescent="0.25">
      <c r="A23" s="43">
        <v>0.01</v>
      </c>
      <c r="B23" s="43">
        <v>0</v>
      </c>
      <c r="C23" s="43">
        <v>1.18</v>
      </c>
      <c r="D23" s="43">
        <v>0.35</v>
      </c>
      <c r="E23" s="43">
        <v>0</v>
      </c>
      <c r="F23" s="43">
        <v>26335</v>
      </c>
      <c r="G23" s="43">
        <v>26335</v>
      </c>
      <c r="H23" s="43">
        <v>37247</v>
      </c>
      <c r="I23" s="43">
        <v>24.04</v>
      </c>
      <c r="J23" s="43">
        <v>1</v>
      </c>
      <c r="K23" s="43">
        <v>-47.37</v>
      </c>
      <c r="L23" s="43" t="s">
        <v>22</v>
      </c>
      <c r="M23" s="43">
        <v>0.95</v>
      </c>
      <c r="N23" s="43">
        <v>1</v>
      </c>
      <c r="O23" s="43" t="s">
        <v>22</v>
      </c>
      <c r="P23" s="48">
        <v>67100</v>
      </c>
      <c r="Q23" s="43" t="s">
        <v>22</v>
      </c>
      <c r="R23" s="43">
        <v>1036.05</v>
      </c>
      <c r="S23" s="43">
        <v>1046.3499999999999</v>
      </c>
      <c r="T23" s="43" t="s">
        <v>22</v>
      </c>
      <c r="U23" s="43" t="s">
        <v>22</v>
      </c>
      <c r="V23" s="43">
        <v>0</v>
      </c>
      <c r="W23" s="43">
        <v>24.04</v>
      </c>
      <c r="X23" s="43">
        <v>0</v>
      </c>
      <c r="Y23" s="43">
        <v>2</v>
      </c>
      <c r="Z23" s="43">
        <v>2</v>
      </c>
      <c r="AA23" s="43">
        <v>-4.4999999999999998E-2</v>
      </c>
      <c r="AB23" s="43">
        <v>0.35</v>
      </c>
      <c r="AC23" s="43">
        <v>1.18</v>
      </c>
      <c r="AD23" s="43">
        <v>0</v>
      </c>
      <c r="AE23" s="43">
        <v>-0.99</v>
      </c>
    </row>
    <row r="24" spans="1:31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1:31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1:31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1:31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1:31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1:31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1:31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1:31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1:31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1:31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1:31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1:31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1:31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1:31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1:31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1:31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1:31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1:31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1:31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1:31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1:31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1:31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1:31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1:31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1:31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1:31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1:31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1:31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1:31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1:31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1:31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1:31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1:31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1:31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1:31" x14ac:dyDescent="0.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1:31" x14ac:dyDescent="0.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1:31" x14ac:dyDescent="0.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1:31" x14ac:dyDescent="0.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1:31" x14ac:dyDescent="0.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1:31" x14ac:dyDescent="0.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1:31" x14ac:dyDescent="0.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1:31" x14ac:dyDescent="0.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1:31" x14ac:dyDescent="0.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1:31" x14ac:dyDescent="0.25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1:31" x14ac:dyDescent="0.25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1:31" x14ac:dyDescent="0.25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1:31" x14ac:dyDescent="0.25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1:31" x14ac:dyDescent="0.25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1:31" x14ac:dyDescent="0.25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1:31" x14ac:dyDescent="0.25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1:31" x14ac:dyDescent="0.25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1:31" x14ac:dyDescent="0.25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1:31" x14ac:dyDescent="0.25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1:31" x14ac:dyDescent="0.25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1:31" x14ac:dyDescent="0.25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1:31" x14ac:dyDescent="0.25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1:31" x14ac:dyDescent="0.25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1:31" x14ac:dyDescent="0.25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1:31" x14ac:dyDescent="0.25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1:31" x14ac:dyDescent="0.25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1:31" x14ac:dyDescent="0.25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1:31" x14ac:dyDescent="0.25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1:31" x14ac:dyDescent="0.25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1:31" x14ac:dyDescent="0.25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1:31" x14ac:dyDescent="0.25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1:31" x14ac:dyDescent="0.25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1:31" x14ac:dyDescent="0.25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1:31" x14ac:dyDescent="0.25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1:31" x14ac:dyDescent="0.25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3" spans="1:31" x14ac:dyDescent="0.25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</row>
    <row r="94" spans="1:31" x14ac:dyDescent="0.25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</row>
    <row r="95" spans="1:31" x14ac:dyDescent="0.25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</row>
    <row r="96" spans="1:31" x14ac:dyDescent="0.25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</row>
    <row r="97" spans="1:31" x14ac:dyDescent="0.25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</row>
    <row r="98" spans="1:31" x14ac:dyDescent="0.25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</row>
    <row r="99" spans="1:31" x14ac:dyDescent="0.25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</row>
    <row r="100" spans="1:31" x14ac:dyDescent="0.25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</row>
    <row r="101" spans="1:31" x14ac:dyDescent="0.25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</row>
    <row r="102" spans="1:31" x14ac:dyDescent="0.25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</row>
    <row r="103" spans="1:31" x14ac:dyDescent="0.25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</row>
    <row r="104" spans="1:31" x14ac:dyDescent="0.25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</row>
    <row r="105" spans="1:31" x14ac:dyDescent="0.25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</row>
    <row r="106" spans="1:31" x14ac:dyDescent="0.25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</row>
    <row r="107" spans="1:31" x14ac:dyDescent="0.25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</row>
    <row r="108" spans="1:31" x14ac:dyDescent="0.25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</row>
    <row r="109" spans="1:31" x14ac:dyDescent="0.25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</row>
    <row r="110" spans="1:31" x14ac:dyDescent="0.25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</row>
    <row r="111" spans="1:31" x14ac:dyDescent="0.25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</row>
    <row r="112" spans="1:31" x14ac:dyDescent="0.25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</row>
    <row r="113" spans="1:31" x14ac:dyDescent="0.25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</row>
    <row r="114" spans="1:31" x14ac:dyDescent="0.25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</row>
    <row r="115" spans="1:31" x14ac:dyDescent="0.25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</row>
    <row r="116" spans="1:31" x14ac:dyDescent="0.25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</row>
    <row r="117" spans="1:31" x14ac:dyDescent="0.25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</row>
    <row r="118" spans="1:31" x14ac:dyDescent="0.25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</row>
    <row r="119" spans="1:31" x14ac:dyDescent="0.25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</row>
    <row r="120" spans="1:31" x14ac:dyDescent="0.25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</row>
    <row r="121" spans="1:31" x14ac:dyDescent="0.25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</row>
    <row r="122" spans="1:31" x14ac:dyDescent="0.25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</row>
    <row r="123" spans="1:31" x14ac:dyDescent="0.25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</row>
    <row r="124" spans="1:31" x14ac:dyDescent="0.25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</row>
    <row r="125" spans="1:31" x14ac:dyDescent="0.25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</row>
    <row r="126" spans="1:31" x14ac:dyDescent="0.25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</row>
    <row r="127" spans="1:31" x14ac:dyDescent="0.25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</row>
    <row r="128" spans="1:31" x14ac:dyDescent="0.25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</row>
    <row r="129" spans="1:31" x14ac:dyDescent="0.25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</row>
    <row r="130" spans="1:31" x14ac:dyDescent="0.25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</row>
    <row r="131" spans="1:31" x14ac:dyDescent="0.25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</row>
    <row r="132" spans="1:31" x14ac:dyDescent="0.25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</row>
    <row r="133" spans="1:31" x14ac:dyDescent="0.25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</row>
    <row r="134" spans="1:31" x14ac:dyDescent="0.25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</row>
    <row r="135" spans="1:31" x14ac:dyDescent="0.25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</row>
    <row r="136" spans="1:31" x14ac:dyDescent="0.25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</row>
    <row r="137" spans="1:31" x14ac:dyDescent="0.25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</row>
    <row r="138" spans="1:31" x14ac:dyDescent="0.25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</row>
    <row r="139" spans="1:31" x14ac:dyDescent="0.25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</row>
    <row r="140" spans="1:31" x14ac:dyDescent="0.25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</row>
    <row r="141" spans="1:31" x14ac:dyDescent="0.25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</row>
    <row r="142" spans="1:31" x14ac:dyDescent="0.25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</row>
    <row r="143" spans="1:31" x14ac:dyDescent="0.25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</row>
    <row r="144" spans="1:31" x14ac:dyDescent="0.25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</row>
    <row r="145" spans="1:31" x14ac:dyDescent="0.25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</row>
    <row r="146" spans="1:31" x14ac:dyDescent="0.25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</row>
    <row r="147" spans="1:31" x14ac:dyDescent="0.25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</row>
    <row r="148" spans="1:31" x14ac:dyDescent="0.25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</row>
    <row r="149" spans="1:31" x14ac:dyDescent="0.25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</row>
    <row r="150" spans="1:31" x14ac:dyDescent="0.25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</row>
    <row r="151" spans="1:31" x14ac:dyDescent="0.25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</row>
    <row r="152" spans="1:31" x14ac:dyDescent="0.25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</row>
    <row r="153" spans="1:31" x14ac:dyDescent="0.25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</row>
    <row r="154" spans="1:31" x14ac:dyDescent="0.25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</row>
    <row r="155" spans="1:31" x14ac:dyDescent="0.25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</row>
    <row r="156" spans="1:31" x14ac:dyDescent="0.25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</row>
    <row r="157" spans="1:31" x14ac:dyDescent="0.25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</row>
    <row r="158" spans="1:31" x14ac:dyDescent="0.25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</row>
    <row r="159" spans="1:31" x14ac:dyDescent="0.25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</row>
    <row r="160" spans="1:31" x14ac:dyDescent="0.25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</row>
    <row r="161" spans="1:31" x14ac:dyDescent="0.25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</row>
    <row r="162" spans="1:31" x14ac:dyDescent="0.25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</row>
    <row r="163" spans="1:31" x14ac:dyDescent="0.25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</row>
    <row r="164" spans="1:31" x14ac:dyDescent="0.2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</row>
    <row r="165" spans="1:31" x14ac:dyDescent="0.25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</row>
    <row r="166" spans="1:31" x14ac:dyDescent="0.25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</row>
    <row r="167" spans="1:31" x14ac:dyDescent="0.25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</row>
    <row r="168" spans="1:31" x14ac:dyDescent="0.25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</row>
    <row r="169" spans="1:31" x14ac:dyDescent="0.25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</row>
    <row r="170" spans="1:31" x14ac:dyDescent="0.25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</row>
    <row r="171" spans="1:31" x14ac:dyDescent="0.25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</row>
    <row r="172" spans="1:31" x14ac:dyDescent="0.25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</row>
    <row r="173" spans="1:31" x14ac:dyDescent="0.25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</row>
    <row r="174" spans="1:31" x14ac:dyDescent="0.25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</row>
    <row r="175" spans="1:31" x14ac:dyDescent="0.25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</row>
    <row r="176" spans="1:31" x14ac:dyDescent="0.25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</row>
    <row r="177" spans="1:31" x14ac:dyDescent="0.25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</row>
    <row r="178" spans="1:31" x14ac:dyDescent="0.25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</row>
    <row r="179" spans="1:31" x14ac:dyDescent="0.25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</row>
    <row r="180" spans="1:31" x14ac:dyDescent="0.25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</row>
    <row r="181" spans="1:31" x14ac:dyDescent="0.25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</row>
    <row r="182" spans="1:31" x14ac:dyDescent="0.25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</row>
    <row r="183" spans="1:31" x14ac:dyDescent="0.25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</row>
    <row r="184" spans="1:31" x14ac:dyDescent="0.25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</row>
    <row r="185" spans="1:31" x14ac:dyDescent="0.25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</row>
    <row r="186" spans="1:31" x14ac:dyDescent="0.25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</row>
    <row r="187" spans="1:31" x14ac:dyDescent="0.25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</row>
    <row r="188" spans="1:31" x14ac:dyDescent="0.25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</row>
    <row r="189" spans="1:31" x14ac:dyDescent="0.25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</row>
    <row r="190" spans="1:31" x14ac:dyDescent="0.25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</row>
    <row r="191" spans="1:31" x14ac:dyDescent="0.25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</row>
    <row r="192" spans="1:31" x14ac:dyDescent="0.25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</row>
    <row r="193" spans="1:31" x14ac:dyDescent="0.25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</row>
    <row r="194" spans="1:31" x14ac:dyDescent="0.25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</row>
    <row r="195" spans="1:31" x14ac:dyDescent="0.25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</row>
    <row r="196" spans="1:31" x14ac:dyDescent="0.25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</row>
    <row r="197" spans="1:31" x14ac:dyDescent="0.25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</row>
    <row r="198" spans="1:31" x14ac:dyDescent="0.25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</row>
    <row r="199" spans="1:31" x14ac:dyDescent="0.25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</row>
    <row r="200" spans="1:31" x14ac:dyDescent="0.25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</row>
    <row r="201" spans="1:31" x14ac:dyDescent="0.25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</row>
    <row r="202" spans="1:31" x14ac:dyDescent="0.25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</row>
    <row r="203" spans="1:31" x14ac:dyDescent="0.25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</row>
    <row r="204" spans="1:31" x14ac:dyDescent="0.25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</row>
    <row r="205" spans="1:31" x14ac:dyDescent="0.25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</row>
    <row r="206" spans="1:31" x14ac:dyDescent="0.25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</row>
    <row r="207" spans="1:31" x14ac:dyDescent="0.25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</row>
    <row r="208" spans="1:31" x14ac:dyDescent="0.25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</row>
    <row r="209" spans="1:31" x14ac:dyDescent="0.25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</row>
    <row r="210" spans="1:31" x14ac:dyDescent="0.25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</row>
    <row r="211" spans="1:31" x14ac:dyDescent="0.25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</row>
    <row r="212" spans="1:31" x14ac:dyDescent="0.25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</row>
    <row r="213" spans="1:31" x14ac:dyDescent="0.25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</row>
    <row r="214" spans="1:31" x14ac:dyDescent="0.25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</row>
    <row r="215" spans="1:31" x14ac:dyDescent="0.25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</row>
    <row r="216" spans="1:31" x14ac:dyDescent="0.25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</row>
    <row r="217" spans="1:31" x14ac:dyDescent="0.25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</row>
    <row r="218" spans="1:31" x14ac:dyDescent="0.25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</row>
    <row r="219" spans="1:31" x14ac:dyDescent="0.25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</row>
    <row r="220" spans="1:31" x14ac:dyDescent="0.25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</row>
    <row r="221" spans="1:31" x14ac:dyDescent="0.2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</row>
    <row r="222" spans="1:31" x14ac:dyDescent="0.2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</row>
    <row r="223" spans="1:31" x14ac:dyDescent="0.2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</row>
    <row r="224" spans="1:31" x14ac:dyDescent="0.2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</row>
    <row r="225" spans="1:31" x14ac:dyDescent="0.2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</row>
    <row r="226" spans="1:31" x14ac:dyDescent="0.2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</row>
    <row r="227" spans="1:31" x14ac:dyDescent="0.2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</row>
    <row r="228" spans="1:31" x14ac:dyDescent="0.2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</row>
    <row r="229" spans="1:31" x14ac:dyDescent="0.2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</row>
    <row r="230" spans="1:31" x14ac:dyDescent="0.2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</row>
    <row r="231" spans="1:31" x14ac:dyDescent="0.2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</row>
    <row r="232" spans="1:31" x14ac:dyDescent="0.2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</row>
    <row r="233" spans="1:31" x14ac:dyDescent="0.2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</row>
    <row r="234" spans="1:31" x14ac:dyDescent="0.2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</row>
    <row r="235" spans="1:31" x14ac:dyDescent="0.2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</row>
    <row r="236" spans="1:31" x14ac:dyDescent="0.2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</row>
    <row r="237" spans="1:31" x14ac:dyDescent="0.2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</row>
    <row r="238" spans="1:31" x14ac:dyDescent="0.2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</row>
    <row r="239" spans="1:31" x14ac:dyDescent="0.2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</row>
    <row r="240" spans="1:31" x14ac:dyDescent="0.2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</row>
    <row r="241" spans="1:31" x14ac:dyDescent="0.2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</row>
    <row r="242" spans="1:31" x14ac:dyDescent="0.2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</row>
    <row r="243" spans="1:31" x14ac:dyDescent="0.2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</row>
    <row r="244" spans="1:31" x14ac:dyDescent="0.2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</row>
    <row r="245" spans="1:31" x14ac:dyDescent="0.2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</row>
    <row r="246" spans="1:31" x14ac:dyDescent="0.2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</row>
    <row r="247" spans="1:31" x14ac:dyDescent="0.2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</row>
    <row r="248" spans="1:31" x14ac:dyDescent="0.2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</row>
    <row r="249" spans="1:31" x14ac:dyDescent="0.2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</row>
    <row r="250" spans="1:31" x14ac:dyDescent="0.2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</row>
    <row r="251" spans="1:31" x14ac:dyDescent="0.2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</row>
    <row r="252" spans="1:31" x14ac:dyDescent="0.2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</row>
    <row r="253" spans="1:31" x14ac:dyDescent="0.2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</row>
    <row r="254" spans="1:31" x14ac:dyDescent="0.2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</row>
    <row r="255" spans="1:31" x14ac:dyDescent="0.2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</row>
    <row r="256" spans="1:31" x14ac:dyDescent="0.2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</row>
    <row r="257" spans="1:31" x14ac:dyDescent="0.2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</row>
    <row r="258" spans="1:31" x14ac:dyDescent="0.2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</row>
    <row r="259" spans="1:31" x14ac:dyDescent="0.2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</row>
    <row r="260" spans="1:31" x14ac:dyDescent="0.2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</row>
    <row r="261" spans="1:31" x14ac:dyDescent="0.2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</row>
    <row r="262" spans="1:31" x14ac:dyDescent="0.2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</row>
    <row r="263" spans="1:31" x14ac:dyDescent="0.2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</row>
    <row r="264" spans="1:31" x14ac:dyDescent="0.2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</row>
    <row r="265" spans="1:31" x14ac:dyDescent="0.2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</row>
    <row r="266" spans="1:31" x14ac:dyDescent="0.2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</row>
    <row r="267" spans="1:31" x14ac:dyDescent="0.2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</row>
    <row r="268" spans="1:31" x14ac:dyDescent="0.2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</row>
    <row r="269" spans="1:31" x14ac:dyDescent="0.2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</row>
    <row r="270" spans="1:31" x14ac:dyDescent="0.2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</row>
    <row r="271" spans="1:31" x14ac:dyDescent="0.2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</row>
    <row r="272" spans="1:31" x14ac:dyDescent="0.2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</row>
    <row r="273" spans="1:31" x14ac:dyDescent="0.2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</row>
    <row r="274" spans="1:31" x14ac:dyDescent="0.2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</row>
    <row r="275" spans="1:31" x14ac:dyDescent="0.2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</row>
    <row r="276" spans="1:31" x14ac:dyDescent="0.2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</row>
    <row r="277" spans="1:31" x14ac:dyDescent="0.2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</row>
    <row r="278" spans="1:31" x14ac:dyDescent="0.2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</row>
    <row r="279" spans="1:31" x14ac:dyDescent="0.2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</row>
    <row r="280" spans="1:31" x14ac:dyDescent="0.2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</row>
    <row r="281" spans="1:31" x14ac:dyDescent="0.2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</row>
    <row r="282" spans="1:31" x14ac:dyDescent="0.2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</row>
    <row r="283" spans="1:31" x14ac:dyDescent="0.2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</row>
    <row r="284" spans="1:31" x14ac:dyDescent="0.2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</row>
    <row r="285" spans="1:31" x14ac:dyDescent="0.2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</row>
    <row r="286" spans="1:31" x14ac:dyDescent="0.2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</row>
    <row r="287" spans="1:31" x14ac:dyDescent="0.2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</row>
    <row r="288" spans="1:31" x14ac:dyDescent="0.2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</row>
    <row r="289" spans="1:31" x14ac:dyDescent="0.2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</row>
    <row r="290" spans="1:31" x14ac:dyDescent="0.2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</row>
    <row r="291" spans="1:31" x14ac:dyDescent="0.2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</row>
    <row r="292" spans="1:31" x14ac:dyDescent="0.2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</row>
    <row r="293" spans="1:31" x14ac:dyDescent="0.2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</row>
    <row r="294" spans="1:31" x14ac:dyDescent="0.2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</row>
    <row r="295" spans="1:31" x14ac:dyDescent="0.2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</row>
    <row r="296" spans="1:31" x14ac:dyDescent="0.2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</row>
    <row r="297" spans="1:31" x14ac:dyDescent="0.2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</row>
    <row r="298" spans="1:31" x14ac:dyDescent="0.2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</row>
    <row r="299" spans="1:31" x14ac:dyDescent="0.2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</row>
    <row r="300" spans="1:31" x14ac:dyDescent="0.2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</row>
    <row r="301" spans="1:31" x14ac:dyDescent="0.2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</row>
    <row r="302" spans="1:31" x14ac:dyDescent="0.2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</row>
    <row r="303" spans="1:31" x14ac:dyDescent="0.2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</row>
    <row r="304" spans="1:31" x14ac:dyDescent="0.2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</row>
    <row r="305" spans="1:31" x14ac:dyDescent="0.2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</row>
    <row r="306" spans="1:31" x14ac:dyDescent="0.2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</row>
    <row r="307" spans="1:31" x14ac:dyDescent="0.2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</row>
    <row r="308" spans="1:31" x14ac:dyDescent="0.2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</row>
    <row r="309" spans="1:31" x14ac:dyDescent="0.2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</row>
    <row r="310" spans="1:31" x14ac:dyDescent="0.2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</row>
    <row r="311" spans="1:31" x14ac:dyDescent="0.2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</row>
    <row r="312" spans="1:31" x14ac:dyDescent="0.2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</row>
    <row r="313" spans="1:31" x14ac:dyDescent="0.2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</row>
    <row r="314" spans="1:31" x14ac:dyDescent="0.2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</row>
    <row r="315" spans="1:31" x14ac:dyDescent="0.2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</row>
    <row r="316" spans="1:31" x14ac:dyDescent="0.2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</row>
    <row r="317" spans="1:31" x14ac:dyDescent="0.2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</row>
    <row r="318" spans="1:31" x14ac:dyDescent="0.2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</row>
    <row r="319" spans="1:31" x14ac:dyDescent="0.2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</row>
    <row r="320" spans="1:31" x14ac:dyDescent="0.2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</row>
    <row r="321" spans="1:31" x14ac:dyDescent="0.2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</row>
    <row r="322" spans="1:31" x14ac:dyDescent="0.2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</row>
    <row r="323" spans="1:31" x14ac:dyDescent="0.2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</row>
    <row r="324" spans="1:31" x14ac:dyDescent="0.2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</row>
    <row r="325" spans="1:31" x14ac:dyDescent="0.2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</row>
    <row r="326" spans="1:31" x14ac:dyDescent="0.2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</row>
    <row r="327" spans="1:31" x14ac:dyDescent="0.2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</row>
    <row r="328" spans="1:31" x14ac:dyDescent="0.2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</row>
    <row r="329" spans="1:31" x14ac:dyDescent="0.2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</row>
    <row r="330" spans="1:31" x14ac:dyDescent="0.2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</row>
    <row r="331" spans="1:31" x14ac:dyDescent="0.2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</row>
    <row r="332" spans="1:31" x14ac:dyDescent="0.2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</row>
    <row r="333" spans="1:31" x14ac:dyDescent="0.2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</row>
    <row r="334" spans="1:31" x14ac:dyDescent="0.2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</row>
    <row r="335" spans="1:31" x14ac:dyDescent="0.2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</row>
    <row r="336" spans="1:31" x14ac:dyDescent="0.2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</row>
    <row r="337" spans="1:31" x14ac:dyDescent="0.2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</row>
    <row r="338" spans="1:31" x14ac:dyDescent="0.2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</row>
    <row r="339" spans="1:31" x14ac:dyDescent="0.2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</row>
    <row r="340" spans="1:31" x14ac:dyDescent="0.2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</row>
    <row r="341" spans="1:31" x14ac:dyDescent="0.2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</row>
    <row r="342" spans="1:31" x14ac:dyDescent="0.2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</row>
    <row r="343" spans="1:31" x14ac:dyDescent="0.2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</row>
    <row r="344" spans="1:31" x14ac:dyDescent="0.2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</row>
    <row r="345" spans="1:31" x14ac:dyDescent="0.2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</row>
    <row r="346" spans="1:31" x14ac:dyDescent="0.2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</row>
    <row r="347" spans="1:31" x14ac:dyDescent="0.2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</row>
    <row r="348" spans="1:31" x14ac:dyDescent="0.2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</row>
    <row r="349" spans="1:31" x14ac:dyDescent="0.2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</row>
    <row r="350" spans="1:31" x14ac:dyDescent="0.2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</row>
    <row r="351" spans="1:31" x14ac:dyDescent="0.2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</row>
    <row r="352" spans="1:31" x14ac:dyDescent="0.2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</row>
    <row r="353" spans="1:31" x14ac:dyDescent="0.2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</row>
    <row r="354" spans="1:31" x14ac:dyDescent="0.2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</row>
    <row r="355" spans="1:31" x14ac:dyDescent="0.2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</row>
    <row r="356" spans="1:31" x14ac:dyDescent="0.2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</row>
    <row r="357" spans="1:31" x14ac:dyDescent="0.2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</row>
    <row r="358" spans="1:31" x14ac:dyDescent="0.2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</row>
    <row r="359" spans="1:31" x14ac:dyDescent="0.2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</row>
    <row r="360" spans="1:31" x14ac:dyDescent="0.2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</row>
    <row r="361" spans="1:31" x14ac:dyDescent="0.2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</row>
    <row r="362" spans="1:31" x14ac:dyDescent="0.2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</row>
    <row r="363" spans="1:31" x14ac:dyDescent="0.2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</row>
    <row r="364" spans="1:31" x14ac:dyDescent="0.2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</row>
    <row r="365" spans="1:31" x14ac:dyDescent="0.2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</row>
    <row r="366" spans="1:31" x14ac:dyDescent="0.2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</row>
    <row r="367" spans="1:31" x14ac:dyDescent="0.2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</row>
    <row r="368" spans="1:31" x14ac:dyDescent="0.2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</row>
    <row r="369" spans="1:31" x14ac:dyDescent="0.2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</row>
    <row r="370" spans="1:31" x14ac:dyDescent="0.2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</row>
    <row r="371" spans="1:31" x14ac:dyDescent="0.2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</row>
    <row r="372" spans="1:31" x14ac:dyDescent="0.2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</row>
    <row r="373" spans="1:31" x14ac:dyDescent="0.2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</row>
    <row r="374" spans="1:31" x14ac:dyDescent="0.2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</row>
    <row r="375" spans="1:31" x14ac:dyDescent="0.2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</row>
    <row r="376" spans="1:31" x14ac:dyDescent="0.2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</row>
    <row r="377" spans="1:31" x14ac:dyDescent="0.2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</row>
    <row r="378" spans="1:31" x14ac:dyDescent="0.2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</row>
    <row r="379" spans="1:31" x14ac:dyDescent="0.2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</row>
    <row r="380" spans="1:31" x14ac:dyDescent="0.2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</row>
    <row r="381" spans="1:31" x14ac:dyDescent="0.2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</row>
    <row r="382" spans="1:31" x14ac:dyDescent="0.2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</row>
    <row r="383" spans="1:31" x14ac:dyDescent="0.2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</row>
    <row r="384" spans="1:31" x14ac:dyDescent="0.2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</row>
    <row r="385" spans="1:31" x14ac:dyDescent="0.2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</row>
    <row r="386" spans="1:31" x14ac:dyDescent="0.2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</row>
    <row r="387" spans="1:31" x14ac:dyDescent="0.2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</row>
    <row r="388" spans="1:31" x14ac:dyDescent="0.2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</row>
    <row r="389" spans="1:31" x14ac:dyDescent="0.2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</row>
    <row r="390" spans="1:31" x14ac:dyDescent="0.2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</row>
    <row r="391" spans="1:31" x14ac:dyDescent="0.2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</row>
    <row r="392" spans="1:31" x14ac:dyDescent="0.2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</row>
    <row r="393" spans="1:31" x14ac:dyDescent="0.2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</row>
    <row r="394" spans="1:31" x14ac:dyDescent="0.2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</row>
    <row r="395" spans="1:31" x14ac:dyDescent="0.2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</row>
    <row r="396" spans="1:31" x14ac:dyDescent="0.2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</row>
    <row r="397" spans="1:31" x14ac:dyDescent="0.2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</row>
    <row r="398" spans="1:31" x14ac:dyDescent="0.2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</row>
    <row r="399" spans="1:31" x14ac:dyDescent="0.2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</row>
    <row r="400" spans="1:31" x14ac:dyDescent="0.2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</row>
    <row r="401" spans="1:31" x14ac:dyDescent="0.2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</row>
    <row r="402" spans="1:31" x14ac:dyDescent="0.2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</row>
    <row r="403" spans="1:31" x14ac:dyDescent="0.2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</row>
    <row r="404" spans="1:31" x14ac:dyDescent="0.2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</row>
    <row r="405" spans="1:31" x14ac:dyDescent="0.2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</row>
    <row r="406" spans="1:31" x14ac:dyDescent="0.2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</row>
    <row r="407" spans="1:31" x14ac:dyDescent="0.2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</row>
    <row r="408" spans="1:31" x14ac:dyDescent="0.2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</row>
    <row r="409" spans="1:31" x14ac:dyDescent="0.2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</row>
    <row r="410" spans="1:31" x14ac:dyDescent="0.2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</row>
    <row r="411" spans="1:31" x14ac:dyDescent="0.2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</row>
    <row r="412" spans="1:31" x14ac:dyDescent="0.2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</row>
    <row r="413" spans="1:31" x14ac:dyDescent="0.2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</row>
    <row r="414" spans="1:31" x14ac:dyDescent="0.2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</row>
    <row r="415" spans="1:31" x14ac:dyDescent="0.2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</row>
    <row r="416" spans="1:31" x14ac:dyDescent="0.2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</row>
    <row r="417" spans="1:31" x14ac:dyDescent="0.2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</row>
    <row r="418" spans="1:31" x14ac:dyDescent="0.2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</row>
    <row r="419" spans="1:31" x14ac:dyDescent="0.2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</row>
    <row r="420" spans="1:31" x14ac:dyDescent="0.2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</row>
    <row r="421" spans="1:31" x14ac:dyDescent="0.2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</row>
    <row r="422" spans="1:31" x14ac:dyDescent="0.2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</row>
    <row r="423" spans="1:31" x14ac:dyDescent="0.2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</row>
    <row r="424" spans="1:31" x14ac:dyDescent="0.2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</row>
    <row r="425" spans="1:31" x14ac:dyDescent="0.2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</row>
    <row r="426" spans="1:31" x14ac:dyDescent="0.2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</row>
    <row r="427" spans="1:31" x14ac:dyDescent="0.2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</row>
    <row r="428" spans="1:31" x14ac:dyDescent="0.2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</row>
    <row r="429" spans="1:31" x14ac:dyDescent="0.2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</row>
    <row r="430" spans="1:31" x14ac:dyDescent="0.2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</row>
    <row r="431" spans="1:31" x14ac:dyDescent="0.2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</row>
    <row r="432" spans="1:31" x14ac:dyDescent="0.2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</row>
    <row r="433" spans="1:31" x14ac:dyDescent="0.2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</row>
    <row r="434" spans="1:31" x14ac:dyDescent="0.2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</row>
    <row r="435" spans="1:31" x14ac:dyDescent="0.2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</row>
    <row r="436" spans="1:31" x14ac:dyDescent="0.2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</row>
    <row r="437" spans="1:31" x14ac:dyDescent="0.2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</row>
    <row r="438" spans="1:31" x14ac:dyDescent="0.2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</row>
    <row r="439" spans="1:31" x14ac:dyDescent="0.2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</row>
    <row r="440" spans="1:31" x14ac:dyDescent="0.2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</row>
    <row r="441" spans="1:31" x14ac:dyDescent="0.2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</row>
    <row r="442" spans="1:31" x14ac:dyDescent="0.2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</row>
    <row r="443" spans="1:31" x14ac:dyDescent="0.2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</row>
    <row r="444" spans="1:31" x14ac:dyDescent="0.2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</row>
    <row r="445" spans="1:31" x14ac:dyDescent="0.2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</row>
    <row r="446" spans="1:31" x14ac:dyDescent="0.2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</row>
    <row r="447" spans="1:31" x14ac:dyDescent="0.2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</row>
    <row r="448" spans="1:31" x14ac:dyDescent="0.2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</row>
    <row r="449" spans="1:31" x14ac:dyDescent="0.2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</row>
    <row r="450" spans="1:31" x14ac:dyDescent="0.2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</row>
    <row r="451" spans="1:31" x14ac:dyDescent="0.2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</row>
    <row r="452" spans="1:31" x14ac:dyDescent="0.2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</row>
    <row r="453" spans="1:31" x14ac:dyDescent="0.2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</row>
    <row r="454" spans="1:31" x14ac:dyDescent="0.2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</row>
    <row r="455" spans="1:31" x14ac:dyDescent="0.2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</row>
    <row r="456" spans="1:31" x14ac:dyDescent="0.2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</row>
    <row r="457" spans="1:31" x14ac:dyDescent="0.2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</row>
    <row r="458" spans="1:31" x14ac:dyDescent="0.2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</row>
    <row r="459" spans="1:31" x14ac:dyDescent="0.2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</row>
    <row r="460" spans="1:31" x14ac:dyDescent="0.2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</row>
    <row r="461" spans="1:31" x14ac:dyDescent="0.2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</row>
    <row r="462" spans="1:31" x14ac:dyDescent="0.2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</row>
    <row r="463" spans="1:31" x14ac:dyDescent="0.2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</row>
    <row r="464" spans="1:31" x14ac:dyDescent="0.2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</row>
    <row r="465" spans="1:31" x14ac:dyDescent="0.2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</row>
    <row r="466" spans="1:31" x14ac:dyDescent="0.2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</row>
    <row r="467" spans="1:31" x14ac:dyDescent="0.2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</row>
    <row r="468" spans="1:31" x14ac:dyDescent="0.2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</row>
    <row r="469" spans="1:31" x14ac:dyDescent="0.2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</row>
    <row r="470" spans="1:31" x14ac:dyDescent="0.2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</row>
    <row r="471" spans="1:31" x14ac:dyDescent="0.2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</row>
    <row r="472" spans="1:31" x14ac:dyDescent="0.2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</row>
    <row r="473" spans="1:31" x14ac:dyDescent="0.2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</row>
    <row r="474" spans="1:31" x14ac:dyDescent="0.2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</row>
    <row r="475" spans="1:31" x14ac:dyDescent="0.2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</row>
    <row r="476" spans="1:31" x14ac:dyDescent="0.2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</row>
    <row r="477" spans="1:31" x14ac:dyDescent="0.2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</row>
    <row r="478" spans="1:31" x14ac:dyDescent="0.2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</row>
    <row r="479" spans="1:31" x14ac:dyDescent="0.2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</row>
    <row r="480" spans="1:31" x14ac:dyDescent="0.2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</row>
    <row r="481" spans="1:31" x14ac:dyDescent="0.2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</row>
    <row r="482" spans="1:31" x14ac:dyDescent="0.2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</row>
    <row r="483" spans="1:31" x14ac:dyDescent="0.2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</row>
    <row r="484" spans="1:31" x14ac:dyDescent="0.2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</row>
    <row r="485" spans="1:31" x14ac:dyDescent="0.2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</row>
    <row r="486" spans="1:31" x14ac:dyDescent="0.2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</row>
    <row r="487" spans="1:31" x14ac:dyDescent="0.2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</row>
    <row r="488" spans="1:31" x14ac:dyDescent="0.2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</row>
    <row r="489" spans="1:31" x14ac:dyDescent="0.2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</row>
    <row r="490" spans="1:31" x14ac:dyDescent="0.2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</row>
    <row r="491" spans="1:31" x14ac:dyDescent="0.2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</row>
    <row r="492" spans="1:31" x14ac:dyDescent="0.2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</row>
    <row r="493" spans="1:31" x14ac:dyDescent="0.2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</row>
    <row r="494" spans="1:31" x14ac:dyDescent="0.2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</row>
    <row r="495" spans="1:31" x14ac:dyDescent="0.2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</row>
    <row r="496" spans="1:31" x14ac:dyDescent="0.2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</row>
    <row r="497" spans="1:31" x14ac:dyDescent="0.2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</row>
    <row r="498" spans="1:31" x14ac:dyDescent="0.2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</row>
    <row r="499" spans="1:31" x14ac:dyDescent="0.2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</row>
    <row r="500" spans="1:31" x14ac:dyDescent="0.2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</row>
  </sheetData>
  <mergeCells count="2">
    <mergeCell ref="A1:O1"/>
    <mergeCell ref="Q1:A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User_Credential</vt:lpstr>
      <vt:lpstr>Config</vt:lpstr>
      <vt:lpstr>Trade_Terminal</vt:lpstr>
      <vt:lpstr>OrderBook</vt:lpstr>
      <vt:lpstr>OpenPosition</vt:lpstr>
      <vt:lpstr>Holdings</vt:lpstr>
      <vt:lpstr>Option_Chain_Input</vt:lpstr>
      <vt:lpstr>Option_Chain_Output</vt:lpstr>
      <vt:lpstr>Option_Chain_Pro_Input</vt:lpstr>
      <vt:lpstr>Option_Chain_Pro_Output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MANJESH</dc:creator>
  <cp:lastModifiedBy>Tapan Hazarika</cp:lastModifiedBy>
  <dcterms:created xsi:type="dcterms:W3CDTF">2022-11-23T02:17:55Z</dcterms:created>
  <dcterms:modified xsi:type="dcterms:W3CDTF">2023-11-24T04:07:50Z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2023-11-19T16:56:54Z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85252c81-98c8-4ea9-900a-7d31741cd143</vt:lpwstr>
  </property>
  <property fmtid="{D5CDD505-2E9C-101B-9397-08002B2CF9AE}" pid="7" name="MSIP_Label_defa4170-0d19-0005-0004-bc88714345d2_ActionId">
    <vt:lpwstr>660433b0-756e-45b1-b74a-939b596f3842</vt:lpwstr>
  </property>
  <property fmtid="{D5CDD505-2E9C-101B-9397-08002B2CF9AE}" pid="8" name="MSIP_Label_defa4170-0d19-0005-0004-bc88714345d2_ContentBits">
    <vt:lpwstr>0</vt:lpwstr>
  </property>
</Properties>
</file>